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1"/>
  <workbookPr/>
  <xr:revisionPtr revIDLastSave="0" documentId="8_{631B6280-DAEC-6A4D-B190-D085029068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quor" sheetId="1" r:id="rId1"/>
    <sheet name="Wine" sheetId="2" r:id="rId2"/>
    <sheet name="Owners Collection" sheetId="3" r:id="rId3"/>
    <sheet name="Beer" sheetId="4" r:id="rId4"/>
    <sheet name="Produce" sheetId="5" state="hidden" r:id="rId5"/>
    <sheet name="Wine Waste" sheetId="6" r:id="rId6"/>
    <sheet name="Cost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RGOs0JlzJB5vqP+LAsY4ObQNvz1pjCM037d2eYvyXlo="/>
    </ext>
  </extLst>
</workbook>
</file>

<file path=xl/calcChain.xml><?xml version="1.0" encoding="utf-8"?>
<calcChain xmlns="http://schemas.openxmlformats.org/spreadsheetml/2006/main">
  <c r="N83" i="7" l="1"/>
  <c r="N105" i="7"/>
  <c r="N109" i="7"/>
  <c r="N111" i="7"/>
  <c r="S36" i="7"/>
  <c r="S41" i="7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G71" i="6"/>
  <c r="H60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W22" i="7"/>
  <c r="X22" i="7"/>
  <c r="X23" i="7"/>
  <c r="V25" i="7"/>
  <c r="H59" i="7"/>
  <c r="H58" i="7"/>
  <c r="X44" i="7"/>
  <c r="Z44" i="7"/>
  <c r="X45" i="7"/>
  <c r="Z45" i="7"/>
  <c r="X46" i="7"/>
  <c r="Z46" i="7"/>
  <c r="X47" i="7"/>
  <c r="Z47" i="7"/>
  <c r="Z48" i="7"/>
  <c r="Z49" i="7"/>
  <c r="H57" i="7"/>
  <c r="L66" i="7"/>
  <c r="H56" i="7"/>
  <c r="H54" i="7"/>
  <c r="I63" i="7"/>
  <c r="X52" i="7"/>
  <c r="Z52" i="7"/>
  <c r="X53" i="7"/>
  <c r="Z53" i="7"/>
  <c r="X54" i="7"/>
  <c r="Z54" i="7"/>
  <c r="X55" i="7"/>
  <c r="Z55" i="7"/>
  <c r="Z56" i="7"/>
  <c r="Z57" i="7"/>
  <c r="R16" i="7"/>
  <c r="R17" i="7"/>
  <c r="S20" i="7"/>
  <c r="L14" i="7"/>
  <c r="H15" i="7"/>
  <c r="X32" i="7"/>
  <c r="Z32" i="7"/>
  <c r="X33" i="7"/>
  <c r="Z33" i="7"/>
  <c r="X34" i="7"/>
  <c r="Z34" i="7"/>
  <c r="X35" i="7"/>
  <c r="Z35" i="7"/>
  <c r="X36" i="7"/>
  <c r="Z36" i="7"/>
  <c r="X37" i="7"/>
  <c r="Z37" i="7"/>
  <c r="X38" i="7"/>
  <c r="Z38" i="7"/>
  <c r="X39" i="7"/>
  <c r="Z39" i="7"/>
  <c r="Z40" i="7"/>
  <c r="Z41" i="7"/>
  <c r="H16" i="7"/>
  <c r="I20" i="7"/>
  <c r="S63" i="7"/>
  <c r="O3" i="2"/>
  <c r="P3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O33" i="2"/>
  <c r="P33" i="2"/>
  <c r="O34" i="2"/>
  <c r="P34" i="2"/>
  <c r="O35" i="2"/>
  <c r="P35" i="2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P51" i="2"/>
  <c r="M3" i="3"/>
  <c r="N3" i="3"/>
  <c r="M4" i="3"/>
  <c r="N4" i="3"/>
  <c r="M5" i="3"/>
  <c r="N5" i="3"/>
  <c r="M6" i="3"/>
  <c r="N6" i="3"/>
  <c r="M7" i="3"/>
  <c r="N7" i="3"/>
  <c r="M8" i="3"/>
  <c r="N8" i="3"/>
  <c r="N9" i="3"/>
  <c r="I65" i="7"/>
  <c r="M3" i="1"/>
  <c r="N3" i="1"/>
  <c r="M4" i="1"/>
  <c r="N4" i="1"/>
  <c r="M5" i="1"/>
  <c r="N5" i="1"/>
  <c r="M6" i="1"/>
  <c r="N6" i="1"/>
  <c r="M7" i="1"/>
  <c r="N7" i="1"/>
  <c r="M8" i="1"/>
  <c r="N8" i="1"/>
  <c r="H409" i="1"/>
  <c r="K409" i="1"/>
  <c r="M9" i="1"/>
  <c r="N9" i="1"/>
  <c r="N10" i="1"/>
  <c r="M11" i="1"/>
  <c r="N11" i="1"/>
  <c r="M12" i="1"/>
  <c r="N12" i="1"/>
  <c r="H405" i="1"/>
  <c r="K405" i="1"/>
  <c r="M13" i="1"/>
  <c r="N13" i="1"/>
  <c r="M14" i="1"/>
  <c r="N14" i="1"/>
  <c r="M15" i="1"/>
  <c r="N15" i="1"/>
  <c r="H447" i="1"/>
  <c r="K447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H414" i="1"/>
  <c r="I414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L48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H408" i="1"/>
  <c r="J408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H445" i="1"/>
  <c r="J445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H452" i="1"/>
  <c r="J452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H440" i="1"/>
  <c r="J440" i="1"/>
  <c r="M183" i="1"/>
  <c r="N183" i="1"/>
  <c r="M184" i="1"/>
  <c r="N184" i="1"/>
  <c r="H446" i="1"/>
  <c r="I446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H451" i="1"/>
  <c r="I451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H413" i="1"/>
  <c r="I413" i="1"/>
  <c r="H432" i="1"/>
  <c r="I432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I447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H423" i="1"/>
  <c r="J423" i="1"/>
  <c r="H439" i="1"/>
  <c r="J439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H422" i="1"/>
  <c r="I422" i="1"/>
  <c r="M281" i="1"/>
  <c r="N281" i="1"/>
  <c r="M282" i="1"/>
  <c r="N282" i="1"/>
  <c r="M283" i="1"/>
  <c r="N283" i="1"/>
  <c r="M284" i="1"/>
  <c r="N284" i="1"/>
  <c r="M285" i="1"/>
  <c r="N285" i="1"/>
  <c r="H435" i="1"/>
  <c r="J435" i="1"/>
  <c r="M286" i="1"/>
  <c r="N286" i="1"/>
  <c r="M287" i="1"/>
  <c r="N287" i="1"/>
  <c r="M288" i="1"/>
  <c r="N288" i="1"/>
  <c r="M289" i="1"/>
  <c r="N289" i="1"/>
  <c r="H404" i="1"/>
  <c r="I404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H412" i="1"/>
  <c r="J412" i="1"/>
  <c r="H431" i="1"/>
  <c r="J431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H450" i="1"/>
  <c r="J450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6" i="1"/>
  <c r="N376" i="1"/>
  <c r="H441" i="1"/>
  <c r="I441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H462" i="1"/>
  <c r="J462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N400" i="1"/>
  <c r="I22" i="7"/>
  <c r="L3" i="4"/>
  <c r="M3" i="4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L18" i="4"/>
  <c r="M18" i="4"/>
  <c r="L19" i="4"/>
  <c r="M19" i="4"/>
  <c r="L20" i="4"/>
  <c r="M20" i="4"/>
  <c r="L21" i="4"/>
  <c r="M21" i="4"/>
  <c r="L22" i="4"/>
  <c r="M22" i="4"/>
  <c r="L23" i="4"/>
  <c r="M23" i="4"/>
  <c r="L24" i="4"/>
  <c r="M24" i="4"/>
  <c r="L25" i="4"/>
  <c r="M25" i="4"/>
  <c r="L26" i="4"/>
  <c r="M26" i="4"/>
  <c r="L27" i="4"/>
  <c r="M27" i="4"/>
  <c r="L28" i="4"/>
  <c r="M28" i="4"/>
  <c r="L29" i="4"/>
  <c r="M29" i="4"/>
  <c r="L30" i="4"/>
  <c r="M30" i="4"/>
  <c r="M32" i="4"/>
  <c r="S22" i="7"/>
  <c r="S65" i="7"/>
  <c r="S67" i="7"/>
  <c r="Q34" i="7"/>
  <c r="S69" i="7"/>
  <c r="I41" i="7"/>
  <c r="I67" i="7"/>
  <c r="I69" i="7"/>
  <c r="S11" i="7"/>
  <c r="S24" i="7"/>
  <c r="S26" i="7"/>
  <c r="I11" i="7"/>
  <c r="I24" i="7"/>
  <c r="I26" i="7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F4" i="4"/>
  <c r="H4" i="4"/>
  <c r="F5" i="4"/>
  <c r="H5" i="4"/>
  <c r="F6" i="4"/>
  <c r="H6" i="4"/>
  <c r="F7" i="4"/>
  <c r="H7" i="4"/>
  <c r="F8" i="4"/>
  <c r="H8" i="4"/>
  <c r="F9" i="4"/>
  <c r="H9" i="4"/>
  <c r="F10" i="4"/>
  <c r="H10" i="4"/>
  <c r="F11" i="4"/>
  <c r="H11" i="4"/>
  <c r="F12" i="4"/>
  <c r="H12" i="4"/>
  <c r="F13" i="4"/>
  <c r="H13" i="4"/>
  <c r="F14" i="4"/>
  <c r="H14" i="4"/>
  <c r="F15" i="4"/>
  <c r="H15" i="4"/>
  <c r="F16" i="4"/>
  <c r="H16" i="4"/>
  <c r="F17" i="4"/>
  <c r="H17" i="4"/>
  <c r="F18" i="4"/>
  <c r="H18" i="4"/>
  <c r="F19" i="4"/>
  <c r="H19" i="4"/>
  <c r="F20" i="4"/>
  <c r="H20" i="4"/>
  <c r="F21" i="4"/>
  <c r="H21" i="4"/>
  <c r="F22" i="4"/>
  <c r="H22" i="4"/>
  <c r="F23" i="4"/>
  <c r="H23" i="4"/>
  <c r="F24" i="4"/>
  <c r="H24" i="4"/>
  <c r="F25" i="4"/>
  <c r="H25" i="4"/>
  <c r="F26" i="4"/>
  <c r="H26" i="4"/>
  <c r="F27" i="4"/>
  <c r="H27" i="4"/>
  <c r="F28" i="4"/>
  <c r="H28" i="4"/>
  <c r="H32" i="4"/>
  <c r="F3" i="4"/>
  <c r="H3" i="4"/>
  <c r="F3" i="3"/>
  <c r="J3" i="3"/>
  <c r="F4" i="3"/>
  <c r="J4" i="3"/>
  <c r="F5" i="3"/>
  <c r="J5" i="3"/>
  <c r="F6" i="3"/>
  <c r="J6" i="3"/>
  <c r="F7" i="3"/>
  <c r="J7" i="3"/>
  <c r="F8" i="3"/>
  <c r="J8" i="3"/>
  <c r="J9" i="3"/>
  <c r="H3" i="3"/>
  <c r="H4" i="3"/>
  <c r="H5" i="3"/>
  <c r="H6" i="3"/>
  <c r="H7" i="3"/>
  <c r="H8" i="3"/>
  <c r="H9" i="3"/>
  <c r="H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F3" i="2"/>
  <c r="J3" i="2"/>
  <c r="F5" i="2"/>
  <c r="J5" i="2"/>
  <c r="F6" i="2"/>
  <c r="J6" i="2"/>
  <c r="F7" i="2"/>
  <c r="J7" i="2"/>
  <c r="F8" i="2"/>
  <c r="J8" i="2"/>
  <c r="F9" i="2"/>
  <c r="J9" i="2"/>
  <c r="F10" i="2"/>
  <c r="J10" i="2"/>
  <c r="F11" i="2"/>
  <c r="J11" i="2"/>
  <c r="F12" i="2"/>
  <c r="J12" i="2"/>
  <c r="F13" i="2"/>
  <c r="J13" i="2"/>
  <c r="F14" i="2"/>
  <c r="J14" i="2"/>
  <c r="F15" i="2"/>
  <c r="J15" i="2"/>
  <c r="F16" i="2"/>
  <c r="J16" i="2"/>
  <c r="F17" i="2"/>
  <c r="J17" i="2"/>
  <c r="F18" i="2"/>
  <c r="J18" i="2"/>
  <c r="F19" i="2"/>
  <c r="J19" i="2"/>
  <c r="F20" i="2"/>
  <c r="J20" i="2"/>
  <c r="F21" i="2"/>
  <c r="J21" i="2"/>
  <c r="F23" i="2"/>
  <c r="J23" i="2"/>
  <c r="F24" i="2"/>
  <c r="J24" i="2"/>
  <c r="F25" i="2"/>
  <c r="J25" i="2"/>
  <c r="F26" i="2"/>
  <c r="J26" i="2"/>
  <c r="F27" i="2"/>
  <c r="J27" i="2"/>
  <c r="F28" i="2"/>
  <c r="J28" i="2"/>
  <c r="F29" i="2"/>
  <c r="J29" i="2"/>
  <c r="F30" i="2"/>
  <c r="J30" i="2"/>
  <c r="F31" i="2"/>
  <c r="J31" i="2"/>
  <c r="F32" i="2"/>
  <c r="J32" i="2"/>
  <c r="F33" i="2"/>
  <c r="J33" i="2"/>
  <c r="F34" i="2"/>
  <c r="J34" i="2"/>
  <c r="F35" i="2"/>
  <c r="J35" i="2"/>
  <c r="F36" i="2"/>
  <c r="J36" i="2"/>
  <c r="F37" i="2"/>
  <c r="J37" i="2"/>
  <c r="F38" i="2"/>
  <c r="J38" i="2"/>
  <c r="F39" i="2"/>
  <c r="J39" i="2"/>
  <c r="F40" i="2"/>
  <c r="J40" i="2"/>
  <c r="F41" i="2"/>
  <c r="J41" i="2"/>
  <c r="F42" i="2"/>
  <c r="J42" i="2"/>
  <c r="F43" i="2"/>
  <c r="J43" i="2"/>
  <c r="F44" i="2"/>
  <c r="J44" i="2"/>
  <c r="F45" i="2"/>
  <c r="J45" i="2"/>
  <c r="F46" i="2"/>
  <c r="J46" i="2"/>
  <c r="F47" i="2"/>
  <c r="J47" i="2"/>
  <c r="F48" i="2"/>
  <c r="J48" i="2"/>
  <c r="I53" i="2"/>
  <c r="J51" i="2"/>
  <c r="H51" i="2"/>
  <c r="O50" i="2"/>
  <c r="P50" i="2"/>
  <c r="F50" i="2"/>
  <c r="J50" i="2"/>
  <c r="H50" i="2"/>
  <c r="O49" i="2"/>
  <c r="P49" i="2"/>
  <c r="F49" i="2"/>
  <c r="J49" i="2"/>
  <c r="H49" i="2"/>
  <c r="H442" i="1"/>
  <c r="K442" i="1"/>
  <c r="H436" i="1"/>
  <c r="K436" i="1"/>
  <c r="F3" i="1"/>
  <c r="G3" i="1"/>
  <c r="I3" i="1"/>
  <c r="F4" i="1"/>
  <c r="G4" i="1"/>
  <c r="I4" i="1"/>
  <c r="F5" i="1"/>
  <c r="G5" i="1"/>
  <c r="I5" i="1"/>
  <c r="F6" i="1"/>
  <c r="G6" i="1"/>
  <c r="I6" i="1"/>
  <c r="F7" i="1"/>
  <c r="G7" i="1"/>
  <c r="I7" i="1"/>
  <c r="F8" i="1"/>
  <c r="G8" i="1"/>
  <c r="I8" i="1"/>
  <c r="F9" i="1"/>
  <c r="G9" i="1"/>
  <c r="I9" i="1"/>
  <c r="F10" i="1"/>
  <c r="G10" i="1"/>
  <c r="I10" i="1"/>
  <c r="F11" i="1"/>
  <c r="G11" i="1"/>
  <c r="I11" i="1"/>
  <c r="F12" i="1"/>
  <c r="G12" i="1"/>
  <c r="I12" i="1"/>
  <c r="F13" i="1"/>
  <c r="G13" i="1"/>
  <c r="I13" i="1"/>
  <c r="F14" i="1"/>
  <c r="G14" i="1"/>
  <c r="I14" i="1"/>
  <c r="F15" i="1"/>
  <c r="G15" i="1"/>
  <c r="I15" i="1"/>
  <c r="F16" i="1"/>
  <c r="G16" i="1"/>
  <c r="I16" i="1"/>
  <c r="F17" i="1"/>
  <c r="G17" i="1"/>
  <c r="I17" i="1"/>
  <c r="F18" i="1"/>
  <c r="G18" i="1"/>
  <c r="I18" i="1"/>
  <c r="F19" i="1"/>
  <c r="G19" i="1"/>
  <c r="I19" i="1"/>
  <c r="F20" i="1"/>
  <c r="G20" i="1"/>
  <c r="I20" i="1"/>
  <c r="F21" i="1"/>
  <c r="G21" i="1"/>
  <c r="I21" i="1"/>
  <c r="F22" i="1"/>
  <c r="G22" i="1"/>
  <c r="I22" i="1"/>
  <c r="F23" i="1"/>
  <c r="G23" i="1"/>
  <c r="I23" i="1"/>
  <c r="F24" i="1"/>
  <c r="G24" i="1"/>
  <c r="I24" i="1"/>
  <c r="F25" i="1"/>
  <c r="G25" i="1"/>
  <c r="I25" i="1"/>
  <c r="F26" i="1"/>
  <c r="G26" i="1"/>
  <c r="I26" i="1"/>
  <c r="F27" i="1"/>
  <c r="G27" i="1"/>
  <c r="I27" i="1"/>
  <c r="F28" i="1"/>
  <c r="G28" i="1"/>
  <c r="I28" i="1"/>
  <c r="F29" i="1"/>
  <c r="G29" i="1"/>
  <c r="I29" i="1"/>
  <c r="F30" i="1"/>
  <c r="G30" i="1"/>
  <c r="I30" i="1"/>
  <c r="F31" i="1"/>
  <c r="G31" i="1"/>
  <c r="I31" i="1"/>
  <c r="F32" i="1"/>
  <c r="G32" i="1"/>
  <c r="I32" i="1"/>
  <c r="F33" i="1"/>
  <c r="G33" i="1"/>
  <c r="I33" i="1"/>
  <c r="F34" i="1"/>
  <c r="G34" i="1"/>
  <c r="I34" i="1"/>
  <c r="F35" i="1"/>
  <c r="G35" i="1"/>
  <c r="I35" i="1"/>
  <c r="F36" i="1"/>
  <c r="G36" i="1"/>
  <c r="I36" i="1"/>
  <c r="F39" i="1"/>
  <c r="G39" i="1"/>
  <c r="I39" i="1"/>
  <c r="F40" i="1"/>
  <c r="G40" i="1"/>
  <c r="I40" i="1"/>
  <c r="F41" i="1"/>
  <c r="G41" i="1"/>
  <c r="I41" i="1"/>
  <c r="F42" i="1"/>
  <c r="G42" i="1"/>
  <c r="I42" i="1"/>
  <c r="F43" i="1"/>
  <c r="G43" i="1"/>
  <c r="I43" i="1"/>
  <c r="F44" i="1"/>
  <c r="G44" i="1"/>
  <c r="I44" i="1"/>
  <c r="F45" i="1"/>
  <c r="G45" i="1"/>
  <c r="I45" i="1"/>
  <c r="F46" i="1"/>
  <c r="G46" i="1"/>
  <c r="I46" i="1"/>
  <c r="F47" i="1"/>
  <c r="G47" i="1"/>
  <c r="I47" i="1"/>
  <c r="I48" i="1"/>
  <c r="F58" i="1"/>
  <c r="G58" i="1"/>
  <c r="I58" i="1"/>
  <c r="F59" i="1"/>
  <c r="G59" i="1"/>
  <c r="I59" i="1"/>
  <c r="F60" i="1"/>
  <c r="G60" i="1"/>
  <c r="I60" i="1"/>
  <c r="F61" i="1"/>
  <c r="G61" i="1"/>
  <c r="I61" i="1"/>
  <c r="F62" i="1"/>
  <c r="G62" i="1"/>
  <c r="I62" i="1"/>
  <c r="F63" i="1"/>
  <c r="G63" i="1"/>
  <c r="I63" i="1"/>
  <c r="F64" i="1"/>
  <c r="G64" i="1"/>
  <c r="I64" i="1"/>
  <c r="F65" i="1"/>
  <c r="G65" i="1"/>
  <c r="I65" i="1"/>
  <c r="F66" i="1"/>
  <c r="G66" i="1"/>
  <c r="I66" i="1"/>
  <c r="F67" i="1"/>
  <c r="G67" i="1"/>
  <c r="I67" i="1"/>
  <c r="F68" i="1"/>
  <c r="G68" i="1"/>
  <c r="I68" i="1"/>
  <c r="F69" i="1"/>
  <c r="G69" i="1"/>
  <c r="I69" i="1"/>
  <c r="F70" i="1"/>
  <c r="G70" i="1"/>
  <c r="I70" i="1"/>
  <c r="F71" i="1"/>
  <c r="G71" i="1"/>
  <c r="I71" i="1"/>
  <c r="F72" i="1"/>
  <c r="G72" i="1"/>
  <c r="I72" i="1"/>
  <c r="F73" i="1"/>
  <c r="G73" i="1"/>
  <c r="I73" i="1"/>
  <c r="F74" i="1"/>
  <c r="G74" i="1"/>
  <c r="I74" i="1"/>
  <c r="F75" i="1"/>
  <c r="G75" i="1"/>
  <c r="I75" i="1"/>
  <c r="F76" i="1"/>
  <c r="G76" i="1"/>
  <c r="I76" i="1"/>
  <c r="F77" i="1"/>
  <c r="G77" i="1"/>
  <c r="I77" i="1"/>
  <c r="F78" i="1"/>
  <c r="G78" i="1"/>
  <c r="I78" i="1"/>
  <c r="F79" i="1"/>
  <c r="G79" i="1"/>
  <c r="I79" i="1"/>
  <c r="F80" i="1"/>
  <c r="G80" i="1"/>
  <c r="I80" i="1"/>
  <c r="F81" i="1"/>
  <c r="G81" i="1"/>
  <c r="I81" i="1"/>
  <c r="F82" i="1"/>
  <c r="G82" i="1"/>
  <c r="I82" i="1"/>
  <c r="F83" i="1"/>
  <c r="G83" i="1"/>
  <c r="I83" i="1"/>
  <c r="F84" i="1"/>
  <c r="G84" i="1"/>
  <c r="I84" i="1"/>
  <c r="F85" i="1"/>
  <c r="G85" i="1"/>
  <c r="I85" i="1"/>
  <c r="F86" i="1"/>
  <c r="G86" i="1"/>
  <c r="I86" i="1"/>
  <c r="F87" i="1"/>
  <c r="G87" i="1"/>
  <c r="I87" i="1"/>
  <c r="F88" i="1"/>
  <c r="G88" i="1"/>
  <c r="I88" i="1"/>
  <c r="F89" i="1"/>
  <c r="G89" i="1"/>
  <c r="I89" i="1"/>
  <c r="F90" i="1"/>
  <c r="G90" i="1"/>
  <c r="I90" i="1"/>
  <c r="F91" i="1"/>
  <c r="G91" i="1"/>
  <c r="I91" i="1"/>
  <c r="F92" i="1"/>
  <c r="G92" i="1"/>
  <c r="I92" i="1"/>
  <c r="F93" i="1"/>
  <c r="G93" i="1"/>
  <c r="I93" i="1"/>
  <c r="F94" i="1"/>
  <c r="G94" i="1"/>
  <c r="I94" i="1"/>
  <c r="F95" i="1"/>
  <c r="G95" i="1"/>
  <c r="I95" i="1"/>
  <c r="F96" i="1"/>
  <c r="G96" i="1"/>
  <c r="I96" i="1"/>
  <c r="F97" i="1"/>
  <c r="G97" i="1"/>
  <c r="I97" i="1"/>
  <c r="F98" i="1"/>
  <c r="G98" i="1"/>
  <c r="I98" i="1"/>
  <c r="F99" i="1"/>
  <c r="G99" i="1"/>
  <c r="I99" i="1"/>
  <c r="F100" i="1"/>
  <c r="G100" i="1"/>
  <c r="I100" i="1"/>
  <c r="F101" i="1"/>
  <c r="G101" i="1"/>
  <c r="I101" i="1"/>
  <c r="F102" i="1"/>
  <c r="G102" i="1"/>
  <c r="I102" i="1"/>
  <c r="F103" i="1"/>
  <c r="G103" i="1"/>
  <c r="I103" i="1"/>
  <c r="F104" i="1"/>
  <c r="G104" i="1"/>
  <c r="I104" i="1"/>
  <c r="F105" i="1"/>
  <c r="G105" i="1"/>
  <c r="I105" i="1"/>
  <c r="F106" i="1"/>
  <c r="G106" i="1"/>
  <c r="I106" i="1"/>
  <c r="F107" i="1"/>
  <c r="G107" i="1"/>
  <c r="I107" i="1"/>
  <c r="F108" i="1"/>
  <c r="G108" i="1"/>
  <c r="I108" i="1"/>
  <c r="F109" i="1"/>
  <c r="G109" i="1"/>
  <c r="I109" i="1"/>
  <c r="F110" i="1"/>
  <c r="G110" i="1"/>
  <c r="I110" i="1"/>
  <c r="F111" i="1"/>
  <c r="G111" i="1"/>
  <c r="I111" i="1"/>
  <c r="F112" i="1"/>
  <c r="G112" i="1"/>
  <c r="I112" i="1"/>
  <c r="F113" i="1"/>
  <c r="G113" i="1"/>
  <c r="I113" i="1"/>
  <c r="F114" i="1"/>
  <c r="G114" i="1"/>
  <c r="I114" i="1"/>
  <c r="F115" i="1"/>
  <c r="G115" i="1"/>
  <c r="I115" i="1"/>
  <c r="F116" i="1"/>
  <c r="G116" i="1"/>
  <c r="I116" i="1"/>
  <c r="F117" i="1"/>
  <c r="G117" i="1"/>
  <c r="I117" i="1"/>
  <c r="F118" i="1"/>
  <c r="G118" i="1"/>
  <c r="I118" i="1"/>
  <c r="F119" i="1"/>
  <c r="G119" i="1"/>
  <c r="I119" i="1"/>
  <c r="F120" i="1"/>
  <c r="G120" i="1"/>
  <c r="I120" i="1"/>
  <c r="F121" i="1"/>
  <c r="G121" i="1"/>
  <c r="I121" i="1"/>
  <c r="F122" i="1"/>
  <c r="G122" i="1"/>
  <c r="I122" i="1"/>
  <c r="F123" i="1"/>
  <c r="G123" i="1"/>
  <c r="I123" i="1"/>
  <c r="F124" i="1"/>
  <c r="G124" i="1"/>
  <c r="I124" i="1"/>
  <c r="F125" i="1"/>
  <c r="G125" i="1"/>
  <c r="I125" i="1"/>
  <c r="F126" i="1"/>
  <c r="G126" i="1"/>
  <c r="I126" i="1"/>
  <c r="F127" i="1"/>
  <c r="G127" i="1"/>
  <c r="I127" i="1"/>
  <c r="F128" i="1"/>
  <c r="G128" i="1"/>
  <c r="I128" i="1"/>
  <c r="F129" i="1"/>
  <c r="G129" i="1"/>
  <c r="I129" i="1"/>
  <c r="F130" i="1"/>
  <c r="G130" i="1"/>
  <c r="I130" i="1"/>
  <c r="F131" i="1"/>
  <c r="G131" i="1"/>
  <c r="I131" i="1"/>
  <c r="F132" i="1"/>
  <c r="G132" i="1"/>
  <c r="I132" i="1"/>
  <c r="F133" i="1"/>
  <c r="G133" i="1"/>
  <c r="I133" i="1"/>
  <c r="F134" i="1"/>
  <c r="G134" i="1"/>
  <c r="I134" i="1"/>
  <c r="F135" i="1"/>
  <c r="G135" i="1"/>
  <c r="I135" i="1"/>
  <c r="F136" i="1"/>
  <c r="G136" i="1"/>
  <c r="I136" i="1"/>
  <c r="F137" i="1"/>
  <c r="G137" i="1"/>
  <c r="I137" i="1"/>
  <c r="F138" i="1"/>
  <c r="G138" i="1"/>
  <c r="I138" i="1"/>
  <c r="F139" i="1"/>
  <c r="G139" i="1"/>
  <c r="I139" i="1"/>
  <c r="F140" i="1"/>
  <c r="G140" i="1"/>
  <c r="I140" i="1"/>
  <c r="F141" i="1"/>
  <c r="G141" i="1"/>
  <c r="I141" i="1"/>
  <c r="F142" i="1"/>
  <c r="G142" i="1"/>
  <c r="I142" i="1"/>
  <c r="F143" i="1"/>
  <c r="G143" i="1"/>
  <c r="I143" i="1"/>
  <c r="F144" i="1"/>
  <c r="G144" i="1"/>
  <c r="I144" i="1"/>
  <c r="F145" i="1"/>
  <c r="G145" i="1"/>
  <c r="I145" i="1"/>
  <c r="F146" i="1"/>
  <c r="G146" i="1"/>
  <c r="I146" i="1"/>
  <c r="F147" i="1"/>
  <c r="G147" i="1"/>
  <c r="I147" i="1"/>
  <c r="F148" i="1"/>
  <c r="G148" i="1"/>
  <c r="I148" i="1"/>
  <c r="F149" i="1"/>
  <c r="G149" i="1"/>
  <c r="I149" i="1"/>
  <c r="F150" i="1"/>
  <c r="G150" i="1"/>
  <c r="I150" i="1"/>
  <c r="F151" i="1"/>
  <c r="G151" i="1"/>
  <c r="I151" i="1"/>
  <c r="F152" i="1"/>
  <c r="G152" i="1"/>
  <c r="I152" i="1"/>
  <c r="F153" i="1"/>
  <c r="G153" i="1"/>
  <c r="I153" i="1"/>
  <c r="F154" i="1"/>
  <c r="G154" i="1"/>
  <c r="I154" i="1"/>
  <c r="F155" i="1"/>
  <c r="G155" i="1"/>
  <c r="I155" i="1"/>
  <c r="F156" i="1"/>
  <c r="G156" i="1"/>
  <c r="I156" i="1"/>
  <c r="F157" i="1"/>
  <c r="G157" i="1"/>
  <c r="I157" i="1"/>
  <c r="F158" i="1"/>
  <c r="G158" i="1"/>
  <c r="I158" i="1"/>
  <c r="F159" i="1"/>
  <c r="G159" i="1"/>
  <c r="I159" i="1"/>
  <c r="F160" i="1"/>
  <c r="G160" i="1"/>
  <c r="I160" i="1"/>
  <c r="F161" i="1"/>
  <c r="G161" i="1"/>
  <c r="I161" i="1"/>
  <c r="F162" i="1"/>
  <c r="G162" i="1"/>
  <c r="I162" i="1"/>
  <c r="F163" i="1"/>
  <c r="G163" i="1"/>
  <c r="I163" i="1"/>
  <c r="F164" i="1"/>
  <c r="G164" i="1"/>
  <c r="I164" i="1"/>
  <c r="F165" i="1"/>
  <c r="G165" i="1"/>
  <c r="I165" i="1"/>
  <c r="F166" i="1"/>
  <c r="G166" i="1"/>
  <c r="I166" i="1"/>
  <c r="F167" i="1"/>
  <c r="G167" i="1"/>
  <c r="I167" i="1"/>
  <c r="F168" i="1"/>
  <c r="G168" i="1"/>
  <c r="I168" i="1"/>
  <c r="F169" i="1"/>
  <c r="G169" i="1"/>
  <c r="I169" i="1"/>
  <c r="F170" i="1"/>
  <c r="G170" i="1"/>
  <c r="I170" i="1"/>
  <c r="F171" i="1"/>
  <c r="G171" i="1"/>
  <c r="I171" i="1"/>
  <c r="F172" i="1"/>
  <c r="G172" i="1"/>
  <c r="I172" i="1"/>
  <c r="F173" i="1"/>
  <c r="G173" i="1"/>
  <c r="I173" i="1"/>
  <c r="F174" i="1"/>
  <c r="G174" i="1"/>
  <c r="I174" i="1"/>
  <c r="F175" i="1"/>
  <c r="G175" i="1"/>
  <c r="I175" i="1"/>
  <c r="F176" i="1"/>
  <c r="G176" i="1"/>
  <c r="I176" i="1"/>
  <c r="F177" i="1"/>
  <c r="G177" i="1"/>
  <c r="I177" i="1"/>
  <c r="F178" i="1"/>
  <c r="G178" i="1"/>
  <c r="I178" i="1"/>
  <c r="F179" i="1"/>
  <c r="G179" i="1"/>
  <c r="I179" i="1"/>
  <c r="F180" i="1"/>
  <c r="G180" i="1"/>
  <c r="I180" i="1"/>
  <c r="F181" i="1"/>
  <c r="G181" i="1"/>
  <c r="I181" i="1"/>
  <c r="F182" i="1"/>
  <c r="G182" i="1"/>
  <c r="I182" i="1"/>
  <c r="F183" i="1"/>
  <c r="G183" i="1"/>
  <c r="I183" i="1"/>
  <c r="F184" i="1"/>
  <c r="G184" i="1"/>
  <c r="I184" i="1"/>
  <c r="F185" i="1"/>
  <c r="G185" i="1"/>
  <c r="I185" i="1"/>
  <c r="F186" i="1"/>
  <c r="G186" i="1"/>
  <c r="I186" i="1"/>
  <c r="F187" i="1"/>
  <c r="G187" i="1"/>
  <c r="I187" i="1"/>
  <c r="F188" i="1"/>
  <c r="G188" i="1"/>
  <c r="I188" i="1"/>
  <c r="F189" i="1"/>
  <c r="G189" i="1"/>
  <c r="I189" i="1"/>
  <c r="F190" i="1"/>
  <c r="G190" i="1"/>
  <c r="I190" i="1"/>
  <c r="F191" i="1"/>
  <c r="G191" i="1"/>
  <c r="I191" i="1"/>
  <c r="F192" i="1"/>
  <c r="G192" i="1"/>
  <c r="I192" i="1"/>
  <c r="F193" i="1"/>
  <c r="G193" i="1"/>
  <c r="I193" i="1"/>
  <c r="F194" i="1"/>
  <c r="G194" i="1"/>
  <c r="I194" i="1"/>
  <c r="F195" i="1"/>
  <c r="G195" i="1"/>
  <c r="I195" i="1"/>
  <c r="F196" i="1"/>
  <c r="G196" i="1"/>
  <c r="I196" i="1"/>
  <c r="F197" i="1"/>
  <c r="G197" i="1"/>
  <c r="I197" i="1"/>
  <c r="F198" i="1"/>
  <c r="G198" i="1"/>
  <c r="I198" i="1"/>
  <c r="F199" i="1"/>
  <c r="G199" i="1"/>
  <c r="I199" i="1"/>
  <c r="F200" i="1"/>
  <c r="G200" i="1"/>
  <c r="I200" i="1"/>
  <c r="F201" i="1"/>
  <c r="G201" i="1"/>
  <c r="I201" i="1"/>
  <c r="F202" i="1"/>
  <c r="G202" i="1"/>
  <c r="I202" i="1"/>
  <c r="F203" i="1"/>
  <c r="G203" i="1"/>
  <c r="I203" i="1"/>
  <c r="F204" i="1"/>
  <c r="G204" i="1"/>
  <c r="I204" i="1"/>
  <c r="F205" i="1"/>
  <c r="G205" i="1"/>
  <c r="I205" i="1"/>
  <c r="F206" i="1"/>
  <c r="G206" i="1"/>
  <c r="I206" i="1"/>
  <c r="F207" i="1"/>
  <c r="G207" i="1"/>
  <c r="I207" i="1"/>
  <c r="F208" i="1"/>
  <c r="G208" i="1"/>
  <c r="I208" i="1"/>
  <c r="F209" i="1"/>
  <c r="G209" i="1"/>
  <c r="I209" i="1"/>
  <c r="F210" i="1"/>
  <c r="G210" i="1"/>
  <c r="I210" i="1"/>
  <c r="F211" i="1"/>
  <c r="G211" i="1"/>
  <c r="I211" i="1"/>
  <c r="F212" i="1"/>
  <c r="G212" i="1"/>
  <c r="I212" i="1"/>
  <c r="F213" i="1"/>
  <c r="G213" i="1"/>
  <c r="I213" i="1"/>
  <c r="F214" i="1"/>
  <c r="G214" i="1"/>
  <c r="I214" i="1"/>
  <c r="F215" i="1"/>
  <c r="G215" i="1"/>
  <c r="I215" i="1"/>
  <c r="F216" i="1"/>
  <c r="G216" i="1"/>
  <c r="I216" i="1"/>
  <c r="F217" i="1"/>
  <c r="G217" i="1"/>
  <c r="I217" i="1"/>
  <c r="F218" i="1"/>
  <c r="G218" i="1"/>
  <c r="I218" i="1"/>
  <c r="F219" i="1"/>
  <c r="G219" i="1"/>
  <c r="I219" i="1"/>
  <c r="F220" i="1"/>
  <c r="G220" i="1"/>
  <c r="I220" i="1"/>
  <c r="F221" i="1"/>
  <c r="G221" i="1"/>
  <c r="I221" i="1"/>
  <c r="F222" i="1"/>
  <c r="G222" i="1"/>
  <c r="I222" i="1"/>
  <c r="F223" i="1"/>
  <c r="G223" i="1"/>
  <c r="I223" i="1"/>
  <c r="F224" i="1"/>
  <c r="G224" i="1"/>
  <c r="I224" i="1"/>
  <c r="F225" i="1"/>
  <c r="G225" i="1"/>
  <c r="I225" i="1"/>
  <c r="F226" i="1"/>
  <c r="G226" i="1"/>
  <c r="I226" i="1"/>
  <c r="F227" i="1"/>
  <c r="G227" i="1"/>
  <c r="I227" i="1"/>
  <c r="F228" i="1"/>
  <c r="G228" i="1"/>
  <c r="I228" i="1"/>
  <c r="F229" i="1"/>
  <c r="G229" i="1"/>
  <c r="I229" i="1"/>
  <c r="F230" i="1"/>
  <c r="G230" i="1"/>
  <c r="I230" i="1"/>
  <c r="F231" i="1"/>
  <c r="G231" i="1"/>
  <c r="I231" i="1"/>
  <c r="F232" i="1"/>
  <c r="G232" i="1"/>
  <c r="I232" i="1"/>
  <c r="F233" i="1"/>
  <c r="G233" i="1"/>
  <c r="I233" i="1"/>
  <c r="F234" i="1"/>
  <c r="G234" i="1"/>
  <c r="I234" i="1"/>
  <c r="F235" i="1"/>
  <c r="G235" i="1"/>
  <c r="I235" i="1"/>
  <c r="F236" i="1"/>
  <c r="G236" i="1"/>
  <c r="I236" i="1"/>
  <c r="F237" i="1"/>
  <c r="G237" i="1"/>
  <c r="I237" i="1"/>
  <c r="F238" i="1"/>
  <c r="G238" i="1"/>
  <c r="I238" i="1"/>
  <c r="F239" i="1"/>
  <c r="G239" i="1"/>
  <c r="I239" i="1"/>
  <c r="F240" i="1"/>
  <c r="G240" i="1"/>
  <c r="I240" i="1"/>
  <c r="F241" i="1"/>
  <c r="G241" i="1"/>
  <c r="I241" i="1"/>
  <c r="F242" i="1"/>
  <c r="G242" i="1"/>
  <c r="I242" i="1"/>
  <c r="F243" i="1"/>
  <c r="G243" i="1"/>
  <c r="I243" i="1"/>
  <c r="F244" i="1"/>
  <c r="G244" i="1"/>
  <c r="I244" i="1"/>
  <c r="F245" i="1"/>
  <c r="G245" i="1"/>
  <c r="I245" i="1"/>
  <c r="F246" i="1"/>
  <c r="G246" i="1"/>
  <c r="I246" i="1"/>
  <c r="F247" i="1"/>
  <c r="G247" i="1"/>
  <c r="I247" i="1"/>
  <c r="F248" i="1"/>
  <c r="G248" i="1"/>
  <c r="I248" i="1"/>
  <c r="F249" i="1"/>
  <c r="G249" i="1"/>
  <c r="I249" i="1"/>
  <c r="F250" i="1"/>
  <c r="G250" i="1"/>
  <c r="I250" i="1"/>
  <c r="F251" i="1"/>
  <c r="G251" i="1"/>
  <c r="I251" i="1"/>
  <c r="F252" i="1"/>
  <c r="G252" i="1"/>
  <c r="I252" i="1"/>
  <c r="F253" i="1"/>
  <c r="G253" i="1"/>
  <c r="I253" i="1"/>
  <c r="F254" i="1"/>
  <c r="G254" i="1"/>
  <c r="I254" i="1"/>
  <c r="F255" i="1"/>
  <c r="G255" i="1"/>
  <c r="I255" i="1"/>
  <c r="F256" i="1"/>
  <c r="G256" i="1"/>
  <c r="I256" i="1"/>
  <c r="F257" i="1"/>
  <c r="G257" i="1"/>
  <c r="I257" i="1"/>
  <c r="F258" i="1"/>
  <c r="G258" i="1"/>
  <c r="I258" i="1"/>
  <c r="F259" i="1"/>
  <c r="G259" i="1"/>
  <c r="I259" i="1"/>
  <c r="F260" i="1"/>
  <c r="G260" i="1"/>
  <c r="I260" i="1"/>
  <c r="F261" i="1"/>
  <c r="G261" i="1"/>
  <c r="I261" i="1"/>
  <c r="F262" i="1"/>
  <c r="G262" i="1"/>
  <c r="I262" i="1"/>
  <c r="F263" i="1"/>
  <c r="G263" i="1"/>
  <c r="I263" i="1"/>
  <c r="F264" i="1"/>
  <c r="G264" i="1"/>
  <c r="I264" i="1"/>
  <c r="F265" i="1"/>
  <c r="G265" i="1"/>
  <c r="I265" i="1"/>
  <c r="F266" i="1"/>
  <c r="G266" i="1"/>
  <c r="I266" i="1"/>
  <c r="F267" i="1"/>
  <c r="G267" i="1"/>
  <c r="I267" i="1"/>
  <c r="F268" i="1"/>
  <c r="G268" i="1"/>
  <c r="I268" i="1"/>
  <c r="F269" i="1"/>
  <c r="G269" i="1"/>
  <c r="I269" i="1"/>
  <c r="F270" i="1"/>
  <c r="G270" i="1"/>
  <c r="I270" i="1"/>
  <c r="F271" i="1"/>
  <c r="G271" i="1"/>
  <c r="I271" i="1"/>
  <c r="F272" i="1"/>
  <c r="G272" i="1"/>
  <c r="I272" i="1"/>
  <c r="F273" i="1"/>
  <c r="G273" i="1"/>
  <c r="I273" i="1"/>
  <c r="F274" i="1"/>
  <c r="G274" i="1"/>
  <c r="I274" i="1"/>
  <c r="F275" i="1"/>
  <c r="G275" i="1"/>
  <c r="I275" i="1"/>
  <c r="F276" i="1"/>
  <c r="G276" i="1"/>
  <c r="I276" i="1"/>
  <c r="F277" i="1"/>
  <c r="G277" i="1"/>
  <c r="I277" i="1"/>
  <c r="F278" i="1"/>
  <c r="G278" i="1"/>
  <c r="I278" i="1"/>
  <c r="F279" i="1"/>
  <c r="G279" i="1"/>
  <c r="I279" i="1"/>
  <c r="F280" i="1"/>
  <c r="G280" i="1"/>
  <c r="I280" i="1"/>
  <c r="F281" i="1"/>
  <c r="G281" i="1"/>
  <c r="I281" i="1"/>
  <c r="F282" i="1"/>
  <c r="G282" i="1"/>
  <c r="I282" i="1"/>
  <c r="F283" i="1"/>
  <c r="G283" i="1"/>
  <c r="I283" i="1"/>
  <c r="F284" i="1"/>
  <c r="G284" i="1"/>
  <c r="I284" i="1"/>
  <c r="F285" i="1"/>
  <c r="G285" i="1"/>
  <c r="I285" i="1"/>
  <c r="F286" i="1"/>
  <c r="G286" i="1"/>
  <c r="I286" i="1"/>
  <c r="F287" i="1"/>
  <c r="G287" i="1"/>
  <c r="I287" i="1"/>
  <c r="F288" i="1"/>
  <c r="G288" i="1"/>
  <c r="I288" i="1"/>
  <c r="F289" i="1"/>
  <c r="G289" i="1"/>
  <c r="I289" i="1"/>
  <c r="F290" i="1"/>
  <c r="G290" i="1"/>
  <c r="I290" i="1"/>
  <c r="F291" i="1"/>
  <c r="G291" i="1"/>
  <c r="I291" i="1"/>
  <c r="F292" i="1"/>
  <c r="G292" i="1"/>
  <c r="I292" i="1"/>
  <c r="F293" i="1"/>
  <c r="G293" i="1"/>
  <c r="I293" i="1"/>
  <c r="F294" i="1"/>
  <c r="G294" i="1"/>
  <c r="I294" i="1"/>
  <c r="F295" i="1"/>
  <c r="G295" i="1"/>
  <c r="I295" i="1"/>
  <c r="I296" i="1"/>
  <c r="F298" i="1"/>
  <c r="G298" i="1"/>
  <c r="I298" i="1"/>
  <c r="F299" i="1"/>
  <c r="G299" i="1"/>
  <c r="I299" i="1"/>
  <c r="F300" i="1"/>
  <c r="G300" i="1"/>
  <c r="I300" i="1"/>
  <c r="F301" i="1"/>
  <c r="G301" i="1"/>
  <c r="I301" i="1"/>
  <c r="F302" i="1"/>
  <c r="G302" i="1"/>
  <c r="I302" i="1"/>
  <c r="F303" i="1"/>
  <c r="G303" i="1"/>
  <c r="I303" i="1"/>
  <c r="F304" i="1"/>
  <c r="G304" i="1"/>
  <c r="I304" i="1"/>
  <c r="F305" i="1"/>
  <c r="G305" i="1"/>
  <c r="I305" i="1"/>
  <c r="F306" i="1"/>
  <c r="G306" i="1"/>
  <c r="I306" i="1"/>
  <c r="F307" i="1"/>
  <c r="G307" i="1"/>
  <c r="I307" i="1"/>
  <c r="F308" i="1"/>
  <c r="G308" i="1"/>
  <c r="I308" i="1"/>
  <c r="F309" i="1"/>
  <c r="G309" i="1"/>
  <c r="I309" i="1"/>
  <c r="F310" i="1"/>
  <c r="G310" i="1"/>
  <c r="I310" i="1"/>
  <c r="F311" i="1"/>
  <c r="G311" i="1"/>
  <c r="I311" i="1"/>
  <c r="F312" i="1"/>
  <c r="G312" i="1"/>
  <c r="I312" i="1"/>
  <c r="F313" i="1"/>
  <c r="G313" i="1"/>
  <c r="I313" i="1"/>
  <c r="F314" i="1"/>
  <c r="G314" i="1"/>
  <c r="I314" i="1"/>
  <c r="F315" i="1"/>
  <c r="G315" i="1"/>
  <c r="I315" i="1"/>
  <c r="F316" i="1"/>
  <c r="G316" i="1"/>
  <c r="I316" i="1"/>
  <c r="F317" i="1"/>
  <c r="G317" i="1"/>
  <c r="I317" i="1"/>
  <c r="F318" i="1"/>
  <c r="G318" i="1"/>
  <c r="I318" i="1"/>
  <c r="F319" i="1"/>
  <c r="G319" i="1"/>
  <c r="I319" i="1"/>
  <c r="F320" i="1"/>
  <c r="G320" i="1"/>
  <c r="I320" i="1"/>
  <c r="F321" i="1"/>
  <c r="G321" i="1"/>
  <c r="I321" i="1"/>
  <c r="F322" i="1"/>
  <c r="G322" i="1"/>
  <c r="I322" i="1"/>
  <c r="F323" i="1"/>
  <c r="G323" i="1"/>
  <c r="I323" i="1"/>
  <c r="F324" i="1"/>
  <c r="G324" i="1"/>
  <c r="I324" i="1"/>
  <c r="F325" i="1"/>
  <c r="G325" i="1"/>
  <c r="I325" i="1"/>
  <c r="F326" i="1"/>
  <c r="G326" i="1"/>
  <c r="I326" i="1"/>
  <c r="F327" i="1"/>
  <c r="G327" i="1"/>
  <c r="I327" i="1"/>
  <c r="F328" i="1"/>
  <c r="G328" i="1"/>
  <c r="I328" i="1"/>
  <c r="F329" i="1"/>
  <c r="G329" i="1"/>
  <c r="I329" i="1"/>
  <c r="F330" i="1"/>
  <c r="G330" i="1"/>
  <c r="I330" i="1"/>
  <c r="F331" i="1"/>
  <c r="G331" i="1"/>
  <c r="I331" i="1"/>
  <c r="F332" i="1"/>
  <c r="G332" i="1"/>
  <c r="I332" i="1"/>
  <c r="F333" i="1"/>
  <c r="G333" i="1"/>
  <c r="I333" i="1"/>
  <c r="F334" i="1"/>
  <c r="G334" i="1"/>
  <c r="I334" i="1"/>
  <c r="F335" i="1"/>
  <c r="G335" i="1"/>
  <c r="I335" i="1"/>
  <c r="F336" i="1"/>
  <c r="G336" i="1"/>
  <c r="I336" i="1"/>
  <c r="F337" i="1"/>
  <c r="G337" i="1"/>
  <c r="I337" i="1"/>
  <c r="F338" i="1"/>
  <c r="G338" i="1"/>
  <c r="I338" i="1"/>
  <c r="F339" i="1"/>
  <c r="G339" i="1"/>
  <c r="I339" i="1"/>
  <c r="F340" i="1"/>
  <c r="G340" i="1"/>
  <c r="I340" i="1"/>
  <c r="F341" i="1"/>
  <c r="G341" i="1"/>
  <c r="I341" i="1"/>
  <c r="F342" i="1"/>
  <c r="G342" i="1"/>
  <c r="I342" i="1"/>
  <c r="F343" i="1"/>
  <c r="G343" i="1"/>
  <c r="I343" i="1"/>
  <c r="F344" i="1"/>
  <c r="G344" i="1"/>
  <c r="I344" i="1"/>
  <c r="F345" i="1"/>
  <c r="G345" i="1"/>
  <c r="I345" i="1"/>
  <c r="F346" i="1"/>
  <c r="G346" i="1"/>
  <c r="I346" i="1"/>
  <c r="F347" i="1"/>
  <c r="G347" i="1"/>
  <c r="I347" i="1"/>
  <c r="F348" i="1"/>
  <c r="G348" i="1"/>
  <c r="I348" i="1"/>
  <c r="F349" i="1"/>
  <c r="G349" i="1"/>
  <c r="I349" i="1"/>
  <c r="F350" i="1"/>
  <c r="G350" i="1"/>
  <c r="I350" i="1"/>
  <c r="F351" i="1"/>
  <c r="G351" i="1"/>
  <c r="I351" i="1"/>
  <c r="F352" i="1"/>
  <c r="G352" i="1"/>
  <c r="I352" i="1"/>
  <c r="F353" i="1"/>
  <c r="G353" i="1"/>
  <c r="I353" i="1"/>
  <c r="F354" i="1"/>
  <c r="G354" i="1"/>
  <c r="I354" i="1"/>
  <c r="F355" i="1"/>
  <c r="G355" i="1"/>
  <c r="I355" i="1"/>
  <c r="F356" i="1"/>
  <c r="G356" i="1"/>
  <c r="I356" i="1"/>
  <c r="F357" i="1"/>
  <c r="G357" i="1"/>
  <c r="I357" i="1"/>
  <c r="F358" i="1"/>
  <c r="G358" i="1"/>
  <c r="I358" i="1"/>
  <c r="F359" i="1"/>
  <c r="G359" i="1"/>
  <c r="I359" i="1"/>
  <c r="F360" i="1"/>
  <c r="G360" i="1"/>
  <c r="I360" i="1"/>
  <c r="F361" i="1"/>
  <c r="G361" i="1"/>
  <c r="I361" i="1"/>
  <c r="F362" i="1"/>
  <c r="G362" i="1"/>
  <c r="I362" i="1"/>
  <c r="F363" i="1"/>
  <c r="G363" i="1"/>
  <c r="I363" i="1"/>
  <c r="F364" i="1"/>
  <c r="G364" i="1"/>
  <c r="I364" i="1"/>
  <c r="F365" i="1"/>
  <c r="G365" i="1"/>
  <c r="I365" i="1"/>
  <c r="F366" i="1"/>
  <c r="G366" i="1"/>
  <c r="I366" i="1"/>
  <c r="F367" i="1"/>
  <c r="G367" i="1"/>
  <c r="I367" i="1"/>
  <c r="F368" i="1"/>
  <c r="G368" i="1"/>
  <c r="I368" i="1"/>
  <c r="F369" i="1"/>
  <c r="G369" i="1"/>
  <c r="I369" i="1"/>
  <c r="F370" i="1"/>
  <c r="G370" i="1"/>
  <c r="I370" i="1"/>
  <c r="F371" i="1"/>
  <c r="G371" i="1"/>
  <c r="I371" i="1"/>
  <c r="F372" i="1"/>
  <c r="G372" i="1"/>
  <c r="I372" i="1"/>
  <c r="F373" i="1"/>
  <c r="G373" i="1"/>
  <c r="I373" i="1"/>
  <c r="F374" i="1"/>
  <c r="G374" i="1"/>
  <c r="I374" i="1"/>
  <c r="F376" i="1"/>
  <c r="G376" i="1"/>
  <c r="I376" i="1"/>
  <c r="F377" i="1"/>
  <c r="G377" i="1"/>
  <c r="I377" i="1"/>
  <c r="F378" i="1"/>
  <c r="G378" i="1"/>
  <c r="I378" i="1"/>
  <c r="F379" i="1"/>
  <c r="G379" i="1"/>
  <c r="I379" i="1"/>
  <c r="F380" i="1"/>
  <c r="G380" i="1"/>
  <c r="I380" i="1"/>
  <c r="F381" i="1"/>
  <c r="G381" i="1"/>
  <c r="I381" i="1"/>
  <c r="F382" i="1"/>
  <c r="G382" i="1"/>
  <c r="I382" i="1"/>
  <c r="F383" i="1"/>
  <c r="G383" i="1"/>
  <c r="I383" i="1"/>
  <c r="F384" i="1"/>
  <c r="G384" i="1"/>
  <c r="I384" i="1"/>
  <c r="F385" i="1"/>
  <c r="G385" i="1"/>
  <c r="I385" i="1"/>
  <c r="F386" i="1"/>
  <c r="G386" i="1"/>
  <c r="I386" i="1"/>
  <c r="F387" i="1"/>
  <c r="G387" i="1"/>
  <c r="I387" i="1"/>
  <c r="F388" i="1"/>
  <c r="G388" i="1"/>
  <c r="I388" i="1"/>
  <c r="F389" i="1"/>
  <c r="G389" i="1"/>
  <c r="I389" i="1"/>
  <c r="F390" i="1"/>
  <c r="G390" i="1"/>
  <c r="I390" i="1"/>
  <c r="F391" i="1"/>
  <c r="G391" i="1"/>
  <c r="I391" i="1"/>
  <c r="F392" i="1"/>
  <c r="G392" i="1"/>
  <c r="I392" i="1"/>
  <c r="F393" i="1"/>
  <c r="G393" i="1"/>
  <c r="I393" i="1"/>
  <c r="F394" i="1"/>
  <c r="G394" i="1"/>
  <c r="I394" i="1"/>
  <c r="F395" i="1"/>
  <c r="G395" i="1"/>
  <c r="I395" i="1"/>
  <c r="F396" i="1"/>
  <c r="G396" i="1"/>
  <c r="I396" i="1"/>
  <c r="F397" i="1"/>
  <c r="G397" i="1"/>
  <c r="I397" i="1"/>
  <c r="F398" i="1"/>
  <c r="G398" i="1"/>
  <c r="I398" i="1"/>
  <c r="F399" i="1"/>
  <c r="G399" i="1"/>
  <c r="I399" i="1"/>
  <c r="I401" i="1"/>
  <c r="F48" i="1"/>
  <c r="G48" i="1"/>
  <c r="F38" i="1"/>
  <c r="G38" i="1"/>
  <c r="F37" i="1"/>
  <c r="G37" i="1"/>
</calcChain>
</file>

<file path=xl/sharedStrings.xml><?xml version="1.0" encoding="utf-8"?>
<sst xmlns="http://schemas.openxmlformats.org/spreadsheetml/2006/main" count="1885" uniqueCount="688">
  <si>
    <t xml:space="preserve">Size . </t>
  </si>
  <si>
    <t>OZ</t>
  </si>
  <si>
    <t>Name</t>
  </si>
  <si>
    <t>Type</t>
  </si>
  <si>
    <t>Bottle Cost</t>
  </si>
  <si>
    <t>Cost Per OZ</t>
  </si>
  <si>
    <t>Cost 1.5oz</t>
  </si>
  <si>
    <t>Menu $</t>
  </si>
  <si>
    <t>Cost%</t>
  </si>
  <si>
    <t>Main Bar</t>
  </si>
  <si>
    <t>Pool Bar</t>
  </si>
  <si>
    <t>Liquor Room</t>
  </si>
  <si>
    <t>Total</t>
  </si>
  <si>
    <t>Total Value</t>
  </si>
  <si>
    <t>Bitters</t>
  </si>
  <si>
    <t>Angostura Bitters</t>
  </si>
  <si>
    <t>bitters</t>
  </si>
  <si>
    <t>Angostura Bitters orange</t>
  </si>
  <si>
    <t>Fee Brother Rhubarb bitters</t>
  </si>
  <si>
    <t>Scrappy Lemon Bitters</t>
  </si>
  <si>
    <t>Fee Brother Black Walnut Bitters</t>
  </si>
  <si>
    <t>Bittermans Hopped Grapefruit Bitters</t>
  </si>
  <si>
    <t>Bittermans Xocolatl Mole Bitters</t>
  </si>
  <si>
    <t>Peychaud Bitters</t>
  </si>
  <si>
    <t>Fee Brother chocolate Aztec bitters</t>
  </si>
  <si>
    <t>Fee Brother Bitter Orange</t>
  </si>
  <si>
    <t>Fee Brother Mint Bitters</t>
  </si>
  <si>
    <t>Fee Brother Celery Bitters</t>
  </si>
  <si>
    <t>Fee Brother Cherry Bitters</t>
  </si>
  <si>
    <t>Greenbar Apple Bitters</t>
  </si>
  <si>
    <t>Scrappy's Lavender Bitters</t>
  </si>
  <si>
    <t>Scrappy's Cardamon Bitters</t>
  </si>
  <si>
    <t>El Guapo Chicory Pecan Bitters</t>
  </si>
  <si>
    <t>Quart</t>
  </si>
  <si>
    <t>Lime Juice (1qrt)</t>
  </si>
  <si>
    <t>Juice</t>
  </si>
  <si>
    <t>Lemon Juice (1qrt)</t>
  </si>
  <si>
    <t>juice</t>
  </si>
  <si>
    <t>Gallon</t>
  </si>
  <si>
    <t>Orange Juice (1gal)</t>
  </si>
  <si>
    <t>Pineapple Juice (48oz)</t>
  </si>
  <si>
    <t>Cranberry Juice</t>
  </si>
  <si>
    <t>Grapefruit Juice</t>
  </si>
  <si>
    <t>Blood Orange Juice</t>
  </si>
  <si>
    <t>1 Liter</t>
  </si>
  <si>
    <t>Coco Loco</t>
  </si>
  <si>
    <t>batch</t>
  </si>
  <si>
    <t>Boiron Frozen Blood Orange Puree</t>
  </si>
  <si>
    <t xml:space="preserve">puree </t>
  </si>
  <si>
    <t>Boiron Guava Puree</t>
  </si>
  <si>
    <t>puree</t>
  </si>
  <si>
    <t>Finest Call Strawberry Puree</t>
  </si>
  <si>
    <t>Rose's Grenadine</t>
  </si>
  <si>
    <t>mixer</t>
  </si>
  <si>
    <t>Filthy Olive Juice</t>
  </si>
  <si>
    <t>1.75 Liter</t>
  </si>
  <si>
    <t>Zing Zang Bloody Mary Mix</t>
  </si>
  <si>
    <t>syrup</t>
  </si>
  <si>
    <t>750ml</t>
  </si>
  <si>
    <t>Liber Fig Syrup</t>
  </si>
  <si>
    <t>Liber Raspberry Gum Syrup</t>
  </si>
  <si>
    <t>Monin Agave</t>
  </si>
  <si>
    <t>Giffard Orgeat</t>
  </si>
  <si>
    <t>Seedlip 108</t>
  </si>
  <si>
    <t>n/a</t>
  </si>
  <si>
    <t>Kentucky 74 whiskey</t>
  </si>
  <si>
    <t>Jalisco 55</t>
  </si>
  <si>
    <t xml:space="preserve">Brez </t>
  </si>
  <si>
    <t>Brez Flow</t>
  </si>
  <si>
    <t>Brez THC</t>
  </si>
  <si>
    <t>n/a thc</t>
  </si>
  <si>
    <t>Giffard Ginger Liqueur NA</t>
  </si>
  <si>
    <t>Crodino NA Spritz</t>
  </si>
  <si>
    <t>Dehy Orange</t>
  </si>
  <si>
    <t>garnish</t>
  </si>
  <si>
    <t>Dehy Lemon</t>
  </si>
  <si>
    <t>Dehy Lime</t>
  </si>
  <si>
    <t>Olives</t>
  </si>
  <si>
    <t>Cocktail Onions</t>
  </si>
  <si>
    <t>Filthy Blue Cheese Olives</t>
  </si>
  <si>
    <t>Luxardo Cherries 3kg</t>
  </si>
  <si>
    <t>Fat Ice 2x2</t>
  </si>
  <si>
    <t>ice</t>
  </si>
  <si>
    <t>Fat Ice Collins</t>
  </si>
  <si>
    <t>Abasolo whiskey</t>
  </si>
  <si>
    <t>whiskey</t>
  </si>
  <si>
    <t>Angel's Envy Bourbon</t>
  </si>
  <si>
    <t>bourbon</t>
  </si>
  <si>
    <t>Balcones Texas Single Malt</t>
  </si>
  <si>
    <t>Basil Hayden Bourbon</t>
  </si>
  <si>
    <t>Basil Hayden Dark Rye</t>
  </si>
  <si>
    <t>rye</t>
  </si>
  <si>
    <t>Blanton's Bourbon</t>
  </si>
  <si>
    <t>Buffalo Trace Bourbon</t>
  </si>
  <si>
    <t>Bulleit Bourbon</t>
  </si>
  <si>
    <t>Bulleit Rye</t>
  </si>
  <si>
    <t>Bespoken Twice Toasted Bourbon Whiskey</t>
  </si>
  <si>
    <t>Bespoken Twice Toasted American Whiskey</t>
  </si>
  <si>
    <t>Crown Royal</t>
  </si>
  <si>
    <t>whisky</t>
  </si>
  <si>
    <t>Eagle Rare 10Y</t>
  </si>
  <si>
    <t>E.H. Taylor Barrel Proof</t>
  </si>
  <si>
    <t>E.H. Taylor Single Barrel</t>
  </si>
  <si>
    <t>Four Roses Bourbon</t>
  </si>
  <si>
    <t>Frey Ranch Bourbon</t>
  </si>
  <si>
    <t>Garrison Brothers Bourbon</t>
  </si>
  <si>
    <t>Garrison Brothers Single Barrel</t>
  </si>
  <si>
    <t>Hibiki Japanese Harmony</t>
  </si>
  <si>
    <t>Hakushu 12Y</t>
  </si>
  <si>
    <t>Jack Daniels Old No. 7 Whiskey</t>
  </si>
  <si>
    <t>Jameson Irish</t>
  </si>
  <si>
    <t>Jefferson's Bourbon</t>
  </si>
  <si>
    <t>Knob Creek Rye</t>
  </si>
  <si>
    <t>Maker's Mark Bourbon</t>
  </si>
  <si>
    <t>Milam &amp; Greene Single Barrel</t>
  </si>
  <si>
    <t>Mitcher's Rye</t>
  </si>
  <si>
    <t>Nikka Coffey Grain</t>
  </si>
  <si>
    <t>700mL</t>
  </si>
  <si>
    <t>Old Fitzgerald 7yr</t>
  </si>
  <si>
    <t>Old Forrester King Ranch</t>
  </si>
  <si>
    <t>Old Forrester Rye</t>
  </si>
  <si>
    <t>Old Forester Classic 86 Proof</t>
  </si>
  <si>
    <t>Orphan Barrel Fanged Pursuit</t>
  </si>
  <si>
    <t>Powers Gold Label Irish Whiskey</t>
  </si>
  <si>
    <t>Rittenhouse Rye</t>
  </si>
  <si>
    <t>Redbreast 12Y</t>
  </si>
  <si>
    <t xml:space="preserve">Rebecca Creek </t>
  </si>
  <si>
    <t>Sazerac Rye</t>
  </si>
  <si>
    <t>Standard Proof Pecan Bourbon</t>
  </si>
  <si>
    <t>Suntory Toki</t>
  </si>
  <si>
    <t>Shibui Grain Select</t>
  </si>
  <si>
    <t>Slane Irish Whisky</t>
  </si>
  <si>
    <t>Standard Proof Rye</t>
  </si>
  <si>
    <t>Still Austin "The Musician" Bourbon</t>
  </si>
  <si>
    <t>Still Austin Rye</t>
  </si>
  <si>
    <t>Still Austin Cask Strength</t>
  </si>
  <si>
    <t>Templeton Rye 4Y</t>
  </si>
  <si>
    <t>Tullamore D.E.W The Legendary Irish Whiskey</t>
  </si>
  <si>
    <t>TX bourbon</t>
  </si>
  <si>
    <t>Uncle Neaerest 1856</t>
  </si>
  <si>
    <t>Uncle Nearest 1884</t>
  </si>
  <si>
    <t>Woodford Reserve Bourbon</t>
  </si>
  <si>
    <t>Woodford Reserve Rye</t>
  </si>
  <si>
    <t>WhistlePig Rye 10yr</t>
  </si>
  <si>
    <t>Wild Turkey 101 Straight Rye</t>
  </si>
  <si>
    <t>Weller 12Y</t>
  </si>
  <si>
    <t>Laird's Applejack</t>
  </si>
  <si>
    <t>brandy</t>
  </si>
  <si>
    <t>Pierre Ferrand Cognac Ambré</t>
  </si>
  <si>
    <t>cognac</t>
  </si>
  <si>
    <t>Macchu Pisco Brandy</t>
  </si>
  <si>
    <t>Fidelitas Williams Birne</t>
  </si>
  <si>
    <t>D'Usse</t>
  </si>
  <si>
    <t>Hennessy VS</t>
  </si>
  <si>
    <t>Hine H VSOP</t>
  </si>
  <si>
    <t>Agave Gin Gracias a Dios</t>
  </si>
  <si>
    <t>gin</t>
  </si>
  <si>
    <t>Aviation Gin</t>
  </si>
  <si>
    <t>Bombay Sapphire</t>
  </si>
  <si>
    <t>Botanist Islay Dry Gin</t>
  </si>
  <si>
    <t>Brooklyn Gin</t>
  </si>
  <si>
    <t>Condesa Gin</t>
  </si>
  <si>
    <t>Empress 1908 Gin</t>
  </si>
  <si>
    <t>Empress Elderflower and Rose</t>
  </si>
  <si>
    <t>Fords Gin</t>
  </si>
  <si>
    <t>Gin Mare</t>
  </si>
  <si>
    <t>Grey Whale</t>
  </si>
  <si>
    <t>Hendrick's Gin</t>
  </si>
  <si>
    <t>Hendricks Gin</t>
  </si>
  <si>
    <t>Monkey 47 Gin</t>
  </si>
  <si>
    <t>Ransom Old Tom Gin</t>
  </si>
  <si>
    <t>Roku Gin</t>
  </si>
  <si>
    <t>Plymouth Gin</t>
  </si>
  <si>
    <t>Sipsmith London Dry Gin</t>
  </si>
  <si>
    <t>Still Austin Gin</t>
  </si>
  <si>
    <t>Tanquery London Dry Gin</t>
  </si>
  <si>
    <t>Waterloo Antique</t>
  </si>
  <si>
    <t>WildJune</t>
  </si>
  <si>
    <t>WildBark</t>
  </si>
  <si>
    <t>Iichiko Saiten</t>
  </si>
  <si>
    <t>shochu</t>
  </si>
  <si>
    <t>Mizu Saga Barley</t>
  </si>
  <si>
    <t>Ancho Reyes Chile</t>
  </si>
  <si>
    <t>liq</t>
  </si>
  <si>
    <t>Ancho Reyes Verde</t>
  </si>
  <si>
    <t>Aperol</t>
  </si>
  <si>
    <t xml:space="preserve">Schonauer Apfel </t>
  </si>
  <si>
    <t>Averna Amaro</t>
  </si>
  <si>
    <t>Alma Finca</t>
  </si>
  <si>
    <t>Amaro Sfumato</t>
  </si>
  <si>
    <t>Amaro Nonino</t>
  </si>
  <si>
    <t>Amaro Di Angostura</t>
  </si>
  <si>
    <t>Giffard Banane du Bresil</t>
  </si>
  <si>
    <t>Bailey's</t>
  </si>
  <si>
    <t>Beespoke Pistachio Cream</t>
  </si>
  <si>
    <t>Benedictine</t>
  </si>
  <si>
    <t>Bols Creme de Banana</t>
  </si>
  <si>
    <t xml:space="preserve">Bols Butterscotch </t>
  </si>
  <si>
    <t>Braulio</t>
  </si>
  <si>
    <t>Campari Aperitivo</t>
  </si>
  <si>
    <t>Chareau Aloe Liqueur</t>
  </si>
  <si>
    <t>Chartreuse Green</t>
  </si>
  <si>
    <t>Chartreuse Yellow</t>
  </si>
  <si>
    <t>Cherry Heering</t>
  </si>
  <si>
    <t>Cocchi Americano Aperitivo</t>
  </si>
  <si>
    <t>Amaro CioCiaro</t>
  </si>
  <si>
    <t>Cointreau</t>
  </si>
  <si>
    <t>Combier Rose Liqueur</t>
  </si>
  <si>
    <t xml:space="preserve">Combier Cassis Liqueur </t>
  </si>
  <si>
    <t>Damiana</t>
  </si>
  <si>
    <t>Daytrip Strawberry Amaro</t>
  </si>
  <si>
    <t>DeKuyper Apple</t>
  </si>
  <si>
    <t>DeKuyper Creme Cassis</t>
  </si>
  <si>
    <t>DeKuyper Curacao Blue</t>
  </si>
  <si>
    <t xml:space="preserve">DeKuyper Schnapps Peppermint </t>
  </si>
  <si>
    <t>Cynar Ricetta</t>
  </si>
  <si>
    <t>Cynar 70</t>
  </si>
  <si>
    <t>Disaronno</t>
  </si>
  <si>
    <t>Domaine de Canton</t>
  </si>
  <si>
    <t>Fernet Branca</t>
  </si>
  <si>
    <t>Fernet Branca Menta</t>
  </si>
  <si>
    <t>Frangelico</t>
  </si>
  <si>
    <t>Fairbanks Sherry</t>
  </si>
  <si>
    <t>John D. Taylor's Velvet Falernum</t>
  </si>
  <si>
    <t>Galliano</t>
  </si>
  <si>
    <t>Giffard Crème De Cacao</t>
  </si>
  <si>
    <t>Giffard Crème De Violet</t>
  </si>
  <si>
    <t>Giffard Rhubarbe</t>
  </si>
  <si>
    <t>Giffard Passionfruit</t>
  </si>
  <si>
    <t>Gran Malo Tamarind</t>
  </si>
  <si>
    <t>Grand Marnier</t>
  </si>
  <si>
    <t>Hamilton Pimento Dram</t>
  </si>
  <si>
    <t>Heirloom Genepy</t>
  </si>
  <si>
    <t>Tempus Fugit Gran Classico</t>
  </si>
  <si>
    <t>Hoodoo Chicory</t>
  </si>
  <si>
    <t>Italicus</t>
  </si>
  <si>
    <t>Kahlua</t>
  </si>
  <si>
    <t>Licor 43</t>
  </si>
  <si>
    <t>Liqor 43</t>
  </si>
  <si>
    <t>Lillet Blanc</t>
  </si>
  <si>
    <t>Luxardo Apertivo</t>
  </si>
  <si>
    <t>Luxardo Maraschino</t>
  </si>
  <si>
    <t>Luxardo Bitter Bianco</t>
  </si>
  <si>
    <t>Martini and Rosso Fiero</t>
  </si>
  <si>
    <t>Mr. Boston Peach Schnapps</t>
  </si>
  <si>
    <t>Montenegro</t>
  </si>
  <si>
    <t>Nixta Licor de Elote</t>
  </si>
  <si>
    <t>Nonino Amaro Grappa</t>
  </si>
  <si>
    <t>Ouzo</t>
  </si>
  <si>
    <t>Paladin Agricanto</t>
  </si>
  <si>
    <t>Paula's Texas Orange</t>
  </si>
  <si>
    <t>Paula's Texas Orange LITER</t>
  </si>
  <si>
    <t>Paula's Texas Lemon</t>
  </si>
  <si>
    <t>Pernod</t>
  </si>
  <si>
    <t>Pimm's No. 1 Liqueur</t>
  </si>
  <si>
    <t>Pierre Ferrand Dry Curacao</t>
  </si>
  <si>
    <t>Romana Sambuca Liqueur Classico</t>
  </si>
  <si>
    <t>Rothman &amp; Winter Apricot</t>
  </si>
  <si>
    <t>Rothman &amp; Winter Cherry</t>
  </si>
  <si>
    <t>Rothman &amp; Winter Creme de Violette</t>
  </si>
  <si>
    <t>Select Aperif</t>
  </si>
  <si>
    <t>Singani 63</t>
  </si>
  <si>
    <t>St Elizabeth Allspice Dram</t>
  </si>
  <si>
    <t>St George Raspberry Liquor</t>
  </si>
  <si>
    <t>St George Spiced Pear</t>
  </si>
  <si>
    <t>St Germain Elderflower</t>
  </si>
  <si>
    <t>St. George Green Chile</t>
  </si>
  <si>
    <t>Suze Liqueur</t>
  </si>
  <si>
    <t>Tempus Fugit Crème De Banana</t>
  </si>
  <si>
    <t>Tempus Fugit Crème De Menthe</t>
  </si>
  <si>
    <t>Tempus Fugit Crème De Noyaux</t>
  </si>
  <si>
    <t>Tuaca</t>
  </si>
  <si>
    <t xml:space="preserve">Vecchio Amaro </t>
  </si>
  <si>
    <t>Violet Crown Jasmine Liqueur</t>
  </si>
  <si>
    <t>Zucca Rabarbaro Amaro</t>
  </si>
  <si>
    <t>Akul Cirial Joven</t>
  </si>
  <si>
    <t>mezcal</t>
  </si>
  <si>
    <t>Akul Madre</t>
  </si>
  <si>
    <t>Akul Espadin</t>
  </si>
  <si>
    <t>Agave de Cortez Joven</t>
  </si>
  <si>
    <t>Del Maguey Vida Mezcal</t>
  </si>
  <si>
    <t>Desert Door Sotol</t>
  </si>
  <si>
    <t>Dos Hombres Joven</t>
  </si>
  <si>
    <t>Granja Nomada Espadin</t>
  </si>
  <si>
    <t>Illegal Mezcal</t>
  </si>
  <si>
    <t>Marca Negra San Martin</t>
  </si>
  <si>
    <t>Marca Negra Tobala</t>
  </si>
  <si>
    <t>The Marfa Spirit Co. Chihuahuan Desert Sotol</t>
  </si>
  <si>
    <t>The Producer</t>
  </si>
  <si>
    <t>Union Mezcal</t>
  </si>
  <si>
    <t>Vago El Manantiel</t>
  </si>
  <si>
    <t>Appleton Estate Signature Blend</t>
  </si>
  <si>
    <t>rum</t>
  </si>
  <si>
    <t>Bacardi</t>
  </si>
  <si>
    <t>Botran 8 Year Rum</t>
  </si>
  <si>
    <t>Captain Morgan</t>
  </si>
  <si>
    <t>Chairman's Reserve Original Spiced</t>
  </si>
  <si>
    <t>Diplomatico Reserva Exclusiva</t>
  </si>
  <si>
    <t>Flor De Cana 4Y White</t>
  </si>
  <si>
    <t>Flor De Cana 7Y Reserve</t>
  </si>
  <si>
    <t>Flor De Cana 12Y Reserve</t>
  </si>
  <si>
    <t xml:space="preserve">Flor de Cana 18y </t>
  </si>
  <si>
    <t>Flor De Cana Spresso Coffee Liquor</t>
  </si>
  <si>
    <t>Kuleana Hawaiian Agrigole</t>
  </si>
  <si>
    <t>Novo Fogo Silver Cacha</t>
  </si>
  <si>
    <t>Planteray OFTD</t>
  </si>
  <si>
    <t>Planteray Dark</t>
  </si>
  <si>
    <t>Rum Haven</t>
  </si>
  <si>
    <t>Sailor Jerry</t>
  </si>
  <si>
    <t>Santa Teresa 1796 Solera</t>
  </si>
  <si>
    <t>Aberfeldy 12Y Single Malt</t>
  </si>
  <si>
    <t>scotch</t>
  </si>
  <si>
    <t>Benriach 10Y</t>
  </si>
  <si>
    <t>Bruichladdich Classic Laddie</t>
  </si>
  <si>
    <t>Bruichladdich 18yr</t>
  </si>
  <si>
    <t>Dewars White Label</t>
  </si>
  <si>
    <t>The Famous Grouse</t>
  </si>
  <si>
    <t>Glendronach 12Y</t>
  </si>
  <si>
    <t>Glenfiddich 14Y</t>
  </si>
  <si>
    <t>Glenfiddich 16yr</t>
  </si>
  <si>
    <t>Glenglassaugh 12Y</t>
  </si>
  <si>
    <t>The Glenlivet 12Y</t>
  </si>
  <si>
    <t>Highland Park 12Y</t>
  </si>
  <si>
    <t>Johnny Walker Black</t>
  </si>
  <si>
    <t>Johnnie Walker Black</t>
  </si>
  <si>
    <t xml:space="preserve">Johnnie Walker Blue </t>
  </si>
  <si>
    <t>Lagavulin 16Y</t>
  </si>
  <si>
    <t>Laphroaig 10Y</t>
  </si>
  <si>
    <t>The Macallan 12Y</t>
  </si>
  <si>
    <t>Monkey Shoulder</t>
  </si>
  <si>
    <t>Old Pulteney 12yr</t>
  </si>
  <si>
    <t>Oban 14Y Single Malt</t>
  </si>
  <si>
    <t xml:space="preserve">Talisker 10Y </t>
  </si>
  <si>
    <t>Aguamiel Bacanora</t>
  </si>
  <si>
    <t>tequila</t>
  </si>
  <si>
    <t>Arette Blanco - 1LT</t>
  </si>
  <si>
    <t>Casa Lujo</t>
  </si>
  <si>
    <t>Casamigos Blanco</t>
  </si>
  <si>
    <t>Casamigos Reposado</t>
  </si>
  <si>
    <t xml:space="preserve">Cazadores Blanco </t>
  </si>
  <si>
    <t>Centinela Blanco</t>
  </si>
  <si>
    <t>Centinela Reposado</t>
  </si>
  <si>
    <t>Centinela Anejo</t>
  </si>
  <si>
    <t>Clase Azul Reposado</t>
  </si>
  <si>
    <t>Codigo 1530 Anejo</t>
  </si>
  <si>
    <t>De Nada Blanco</t>
  </si>
  <si>
    <t>De Nada Reposado</t>
  </si>
  <si>
    <t>Don Julio 1942</t>
  </si>
  <si>
    <t>Don Julio Blanco</t>
  </si>
  <si>
    <t>Don Julio Reposado</t>
  </si>
  <si>
    <t>Don Julio Anejo</t>
  </si>
  <si>
    <t>Don Fulano Blanco</t>
  </si>
  <si>
    <t>Don Fulano Reposado</t>
  </si>
  <si>
    <t>El Tesoro Blanco</t>
  </si>
  <si>
    <t>El Tesoro Reposado</t>
  </si>
  <si>
    <t>El Tesoro Anejo</t>
  </si>
  <si>
    <t>Espolon Blanco Tequila</t>
  </si>
  <si>
    <t>Espolon Reposado Tequila</t>
  </si>
  <si>
    <t>Fortaleza Blanco</t>
  </si>
  <si>
    <t>Fortaleza Reposado</t>
  </si>
  <si>
    <t>Fortaleza Anejo</t>
  </si>
  <si>
    <t>G4 Blanco</t>
  </si>
  <si>
    <t>G4 Reposado</t>
  </si>
  <si>
    <t>G4 Anejo</t>
  </si>
  <si>
    <t>Komos Reposado</t>
  </si>
  <si>
    <t>La Caza Blanco</t>
  </si>
  <si>
    <t>La Caza Reposado</t>
  </si>
  <si>
    <t>La Caza Anejo</t>
  </si>
  <si>
    <t>Lalo Blanco</t>
  </si>
  <si>
    <t>Raicilla de Una Maximiliana</t>
  </si>
  <si>
    <t>Socorro Blanco</t>
  </si>
  <si>
    <t>Socorro Reposado</t>
  </si>
  <si>
    <t>Socorro Anejo</t>
  </si>
  <si>
    <t>Soledad Joven</t>
  </si>
  <si>
    <t>Soledad Anejo 8 Years</t>
  </si>
  <si>
    <t>Soledad Dos Barricos</t>
  </si>
  <si>
    <t>Soledad Dia de los Muertos</t>
  </si>
  <si>
    <t xml:space="preserve">Tanteo Jalapeno </t>
  </si>
  <si>
    <t>Tequila Ocho Plata</t>
  </si>
  <si>
    <t>Tequila Ocho Reposado</t>
  </si>
  <si>
    <t>Dolin de Chambrey Dry</t>
  </si>
  <si>
    <t>vermouth</t>
  </si>
  <si>
    <t>Cocchi Sweet Vermouth</t>
  </si>
  <si>
    <t>Belverdere Vodka</t>
  </si>
  <si>
    <t>vodka</t>
  </si>
  <si>
    <t>Chopin Vodka</t>
  </si>
  <si>
    <t>Deep Eddy Ruby Red</t>
  </si>
  <si>
    <t>Deep Eddy Lime</t>
  </si>
  <si>
    <t>Deep Eddy Lemon</t>
  </si>
  <si>
    <t>Deep Eddy Peach</t>
  </si>
  <si>
    <t>Dripping Springs</t>
  </si>
  <si>
    <t>Everclear</t>
  </si>
  <si>
    <t>FIX</t>
  </si>
  <si>
    <t>Grey Goose</t>
  </si>
  <si>
    <t>Kastra Elion</t>
  </si>
  <si>
    <t>Ketel One</t>
  </si>
  <si>
    <t>Pink Whitney (New Amsterdam)</t>
  </si>
  <si>
    <t>Reyka</t>
  </si>
  <si>
    <t>Tito's Texas</t>
  </si>
  <si>
    <t>batched cocktail</t>
  </si>
  <si>
    <t>count (L)</t>
  </si>
  <si>
    <t>build %</t>
  </si>
  <si>
    <t>item</t>
  </si>
  <si>
    <t>total oz</t>
  </si>
  <si>
    <t>750mL</t>
  </si>
  <si>
    <t>1L</t>
  </si>
  <si>
    <t>Rum Old Fashioned</t>
  </si>
  <si>
    <t>flor de cana 18yr</t>
  </si>
  <si>
    <t>aztec chocolate bitters</t>
  </si>
  <si>
    <t>Old Fashioned</t>
  </si>
  <si>
    <t>four roses</t>
  </si>
  <si>
    <t>angostura</t>
  </si>
  <si>
    <t>Watermelon Marg</t>
  </si>
  <si>
    <t>casa lujo</t>
  </si>
  <si>
    <t>paula's orange</t>
  </si>
  <si>
    <t>blood orange</t>
  </si>
  <si>
    <t>Tropic</t>
  </si>
  <si>
    <t>botran rum</t>
  </si>
  <si>
    <t>producer mezcal</t>
  </si>
  <si>
    <t>Margarita</t>
  </si>
  <si>
    <t>casa lujo tequila</t>
  </si>
  <si>
    <t>daiquiri</t>
  </si>
  <si>
    <t>flor de cana white rum</t>
  </si>
  <si>
    <t>mezcal negroni</t>
  </si>
  <si>
    <t>the producer</t>
  </si>
  <si>
    <t>campari</t>
  </si>
  <si>
    <t>cocchi di torino</t>
  </si>
  <si>
    <t>Chef's Garden</t>
  </si>
  <si>
    <t>akul</t>
  </si>
  <si>
    <t>green chartreuse</t>
  </si>
  <si>
    <t>celery bitters</t>
  </si>
  <si>
    <t>Chamoyada</t>
  </si>
  <si>
    <t>socorro blanco</t>
  </si>
  <si>
    <t>gran malo</t>
  </si>
  <si>
    <t>alma finca</t>
  </si>
  <si>
    <t>Limoncello</t>
  </si>
  <si>
    <t>everclear</t>
  </si>
  <si>
    <t>Shell Yeah</t>
  </si>
  <si>
    <t>Banana</t>
  </si>
  <si>
    <t>Hard Launch</t>
  </si>
  <si>
    <t>Figgy</t>
  </si>
  <si>
    <t>Wine</t>
  </si>
  <si>
    <t>Size</t>
  </si>
  <si>
    <t>Ounces</t>
  </si>
  <si>
    <t>W/R/S</t>
  </si>
  <si>
    <t>Cost</t>
  </si>
  <si>
    <t>Cost per OZ</t>
  </si>
  <si>
    <t>Menu Price Bottle</t>
  </si>
  <si>
    <t>Cost Bottle%</t>
  </si>
  <si>
    <t>Menu Price Glass 5oz</t>
  </si>
  <si>
    <t>Cost Glass%</t>
  </si>
  <si>
    <t>Restaurant, Server Alley &amp; Wine Cubby</t>
  </si>
  <si>
    <t>Wine Storage</t>
  </si>
  <si>
    <t>MiraMe Cava</t>
  </si>
  <si>
    <t>BTG Sparkling</t>
  </si>
  <si>
    <t xml:space="preserve">Wycliffe </t>
  </si>
  <si>
    <t>Fidora Prosecco NV</t>
  </si>
  <si>
    <t>El Bajio Sparkling Brut</t>
  </si>
  <si>
    <t>Soto Vino Once Upon a Time in TX Rose</t>
  </si>
  <si>
    <t>BTG Rose</t>
  </si>
  <si>
    <t>Ambratu Orange 2023</t>
  </si>
  <si>
    <t>BTG Orange</t>
  </si>
  <si>
    <t>Frenzy Sauvignon Blanc 2023 (HH)</t>
  </si>
  <si>
    <t>BTG White</t>
  </si>
  <si>
    <t>Stags' Leap Chardonnay 2023</t>
  </si>
  <si>
    <t>Terlato Pinot Grigio 2022</t>
  </si>
  <si>
    <t>Herencia Altes Garnatxa Blanc 2022</t>
  </si>
  <si>
    <t>Presqu'ile Pinot Noir 2023</t>
  </si>
  <si>
    <t>Casa Madero 3V 2021 (6pk)</t>
  </si>
  <si>
    <t>BTG Red</t>
  </si>
  <si>
    <t>Soto Vino Slow Dancing</t>
  </si>
  <si>
    <t>Ch Ste Michelle Cold Creek Vyd Cab Sauv 2020 (6pk)</t>
  </si>
  <si>
    <t>Sterling Cabernet Sauvignon 2023 (HH)</t>
  </si>
  <si>
    <t>Happy Hour Wine</t>
  </si>
  <si>
    <t>375ml</t>
  </si>
  <si>
    <t>Louis Roederer Brut Collection 246 (375mL)</t>
  </si>
  <si>
    <t>Sparkling</t>
  </si>
  <si>
    <t>Antech Cuvee Francoise Cremant de Limoux NV</t>
  </si>
  <si>
    <t>Jean Veselle Brut</t>
  </si>
  <si>
    <t>Veuve Cliquot Yellow Label</t>
  </si>
  <si>
    <t>GH Mumm Cordon Rosé</t>
  </si>
  <si>
    <t>Ruinart Rosé</t>
  </si>
  <si>
    <t>Can Sumoi La Rosa Rose 2023</t>
  </si>
  <si>
    <t>Rosé</t>
  </si>
  <si>
    <t>Soto Vino Desert Rose 2023</t>
  </si>
  <si>
    <t>Soto Vino Orange Wine</t>
  </si>
  <si>
    <t>Rombauer Sauvignon Blanc 2023</t>
  </si>
  <si>
    <t>White</t>
  </si>
  <si>
    <t>Chalk Hill Sauvignon Blanc 2023</t>
  </si>
  <si>
    <t>La Chiara Gavi 2020</t>
  </si>
  <si>
    <t>Vietti Roero Arneis 2023</t>
  </si>
  <si>
    <t>Seppeltsfield Riesling</t>
  </si>
  <si>
    <t>Chalone Chardonnay 2022</t>
  </si>
  <si>
    <t>G. Vrignaud Petit Chablis 2022</t>
  </si>
  <si>
    <t>Olivier LeFlaive Bourgogne "Les Setilles" 2020</t>
  </si>
  <si>
    <t>Louis Latour Meursault 2019</t>
  </si>
  <si>
    <t>Pedernales Albarino 2021 (TX)</t>
  </si>
  <si>
    <t>Soto Vino 24 Sauvage 2024</t>
  </si>
  <si>
    <t>Red</t>
  </si>
  <si>
    <t>Teutonic Crow Valley Vyd Pinot Noir 2023</t>
  </si>
  <si>
    <t>Moshin Vineyards Pinot Noir 2020</t>
  </si>
  <si>
    <t>Montenidoli Toscana Rosso 2020</t>
  </si>
  <si>
    <t>Montenidoli Toscana Rosso 2017</t>
  </si>
  <si>
    <t>Mario Bagella 1Sorso Cannonau 2022</t>
  </si>
  <si>
    <t>Olivier Cazenave Bel Rouge NV</t>
  </si>
  <si>
    <t>Seppeltsfield Shiraz 2022</t>
  </si>
  <si>
    <t>Tococo de Alcohuaz Syrah 2019 (Chile)</t>
  </si>
  <si>
    <t>Aalto Ribera del Duero 2021</t>
  </si>
  <si>
    <t>Turley Juvenile Zin 2022/2023</t>
  </si>
  <si>
    <t>Domaine Gayrard Duras 2022</t>
  </si>
  <si>
    <t>500mL</t>
  </si>
  <si>
    <t>Clarendelle Amberwine 2015</t>
  </si>
  <si>
    <t>Dessert Wine</t>
  </si>
  <si>
    <t>Taylor Fladgate Tawny Port 20yr</t>
  </si>
  <si>
    <t>TOTAL</t>
  </si>
  <si>
    <t>Owner's Reserve Wine</t>
  </si>
  <si>
    <t xml:space="preserve">Restaurant </t>
  </si>
  <si>
    <t>Office Wine Storage</t>
  </si>
  <si>
    <t>Chateau Climens Grand Vin de Sauternes 2011</t>
  </si>
  <si>
    <t xml:space="preserve">White </t>
  </si>
  <si>
    <t>Dom Robert Denogent Pouilly Fuisse Clos Reyssie 2016</t>
  </si>
  <si>
    <t>Chalk Hill Estate Red 2013</t>
  </si>
  <si>
    <t>Orin Swift Mercury Head Cav Sauv 2022</t>
  </si>
  <si>
    <t>Spottswoode Cabernet Sauvignon 2021</t>
  </si>
  <si>
    <t>Caymus Cabernet Sauvignon 2016</t>
  </si>
  <si>
    <t>Beer</t>
  </si>
  <si>
    <t xml:space="preserve">Size.   </t>
  </si>
  <si>
    <t>Cost/ OZ</t>
  </si>
  <si>
    <t>Cooler</t>
  </si>
  <si>
    <t>1/4bbl</t>
  </si>
  <si>
    <t>512 Kolsch</t>
  </si>
  <si>
    <t>1/6bbl</t>
  </si>
  <si>
    <t>Fast Friends Marzen Lager</t>
  </si>
  <si>
    <t>Save the World Cerveza</t>
  </si>
  <si>
    <t>Save the World Chasing Broncos IPA</t>
  </si>
  <si>
    <t>Can</t>
  </si>
  <si>
    <t>Lone Star</t>
  </si>
  <si>
    <t xml:space="preserve">Michelob Ultra </t>
  </si>
  <si>
    <t>Modelo Especial</t>
  </si>
  <si>
    <t>Pacifico</t>
  </si>
  <si>
    <t>Miller Lite</t>
  </si>
  <si>
    <t>Coors Light</t>
  </si>
  <si>
    <t>512 Juicy IPA</t>
  </si>
  <si>
    <t>Shiner Bock</t>
  </si>
  <si>
    <t>Austin Eastsider Dry</t>
  </si>
  <si>
    <t>Austin Eastciders Blood Orange</t>
  </si>
  <si>
    <t>Fast Friends Matamata</t>
  </si>
  <si>
    <t>Fast Friends Chibi Boots Pale Ale</t>
  </si>
  <si>
    <t xml:space="preserve">Fast Friends Birthday Buds Dbl IPA		</t>
  </si>
  <si>
    <t>196 Suntory Seltzers</t>
  </si>
  <si>
    <t>Bottle</t>
  </si>
  <si>
    <t>Heineken 0.0</t>
  </si>
  <si>
    <t>Michelob Ultra</t>
  </si>
  <si>
    <t>Keg Deposit $50</t>
  </si>
  <si>
    <t>Keg Deposit $30 (512 Brewing)</t>
  </si>
  <si>
    <t>PRODUCE</t>
  </si>
  <si>
    <t>NAME</t>
  </si>
  <si>
    <t>UOM</t>
  </si>
  <si>
    <t>Storage</t>
  </si>
  <si>
    <t xml:space="preserve">Olives </t>
  </si>
  <si>
    <t xml:space="preserve">case </t>
  </si>
  <si>
    <t xml:space="preserve">Strawberries </t>
  </si>
  <si>
    <t xml:space="preserve">flat </t>
  </si>
  <si>
    <t xml:space="preserve">Flowers </t>
  </si>
  <si>
    <t xml:space="preserve">boxes </t>
  </si>
  <si>
    <t xml:space="preserve">limes </t>
  </si>
  <si>
    <t xml:space="preserve">lemons </t>
  </si>
  <si>
    <t xml:space="preserve">mint </t>
  </si>
  <si>
    <t xml:space="preserve">pound </t>
  </si>
  <si>
    <t>Grenadine</t>
  </si>
  <si>
    <t>Agave Sweet</t>
  </si>
  <si>
    <t>Pineapple Juice</t>
  </si>
  <si>
    <t>basil</t>
  </si>
  <si>
    <t xml:space="preserve">DRIED PEACHES </t>
  </si>
  <si>
    <t>LB</t>
  </si>
  <si>
    <t xml:space="preserve">jalepeno </t>
  </si>
  <si>
    <t xml:space="preserve">Watermelon </t>
  </si>
  <si>
    <t>PUREE GREEN APPLE</t>
  </si>
  <si>
    <t>EA</t>
  </si>
  <si>
    <t xml:space="preserve">PUREE YUZU </t>
  </si>
  <si>
    <t xml:space="preserve">PUREE LADY LYCHEE </t>
  </si>
  <si>
    <t xml:space="preserve">PUREE PINEAPPLE </t>
  </si>
  <si>
    <t xml:space="preserve">EA </t>
  </si>
  <si>
    <t>PUREE PAPAYA</t>
  </si>
  <si>
    <t>LEMON JUICE</t>
  </si>
  <si>
    <t>GRAPEFRUIT JUICE</t>
  </si>
  <si>
    <t>VERBENA - (NOVEMBER:2025) WINE WASTE LOG</t>
  </si>
  <si>
    <t xml:space="preserve">Date: </t>
  </si>
  <si>
    <t>Unit Lost</t>
  </si>
  <si>
    <t>Whole Sale Cost</t>
  </si>
  <si>
    <t>Total Loss</t>
  </si>
  <si>
    <t>Total:</t>
  </si>
  <si>
    <t xml:space="preserve">Liquor </t>
  </si>
  <si>
    <t xml:space="preserve">Beer </t>
  </si>
  <si>
    <t>Liquor Cost Worksheet</t>
  </si>
  <si>
    <t>Beer Cost Worksheet</t>
  </si>
  <si>
    <t>Month/Year:</t>
  </si>
  <si>
    <t>Gross Beverage Revenue:</t>
  </si>
  <si>
    <t>WINESDAY 1/2 off PROMO</t>
  </si>
  <si>
    <t>Beginning Inventory</t>
  </si>
  <si>
    <t>Sold</t>
  </si>
  <si>
    <t>Purchases</t>
  </si>
  <si>
    <t>Petty Cash Purchases</t>
  </si>
  <si>
    <t>September Lobby Tastings - Liquor</t>
  </si>
  <si>
    <t>Other Purchases</t>
  </si>
  <si>
    <t>specs</t>
  </si>
  <si>
    <t>17/L</t>
  </si>
  <si>
    <t>Total Purchases</t>
  </si>
  <si>
    <t>29/L</t>
  </si>
  <si>
    <t>Negroni</t>
  </si>
  <si>
    <t>11/L</t>
  </si>
  <si>
    <t>Daiquiri</t>
  </si>
  <si>
    <t>Credit</t>
  </si>
  <si>
    <t>Retail Wall Reclass</t>
  </si>
  <si>
    <t>Evening Tasting</t>
  </si>
  <si>
    <t>Front Desk</t>
  </si>
  <si>
    <t>15% cost</t>
  </si>
  <si>
    <t>HH Benefit</t>
  </si>
  <si>
    <t>Other - $2 off Promo</t>
  </si>
  <si>
    <t>Front Office Amenity</t>
  </si>
  <si>
    <t>Resort Pass</t>
  </si>
  <si>
    <t>Cabana Bottles (750mL)</t>
  </si>
  <si>
    <t>Other</t>
  </si>
  <si>
    <t>Total Credits</t>
  </si>
  <si>
    <t>Ending Inventory</t>
  </si>
  <si>
    <t>Cost of Bev Consumed</t>
  </si>
  <si>
    <t>Credit 50%</t>
  </si>
  <si>
    <t>Beverage Cost %</t>
  </si>
  <si>
    <t xml:space="preserve">TOTAL </t>
  </si>
  <si>
    <t>HH Cocktails</t>
  </si>
  <si>
    <t>Original Price</t>
  </si>
  <si>
    <t>HH Price</t>
  </si>
  <si>
    <t xml:space="preserve">Difference </t>
  </si>
  <si>
    <t xml:space="preserve">Sold </t>
  </si>
  <si>
    <t xml:space="preserve">Total </t>
  </si>
  <si>
    <t>Wine Cost Worksheet</t>
  </si>
  <si>
    <t>Total LBW Cost Worksheet</t>
  </si>
  <si>
    <t>UT margarita $5</t>
  </si>
  <si>
    <t>Item</t>
  </si>
  <si>
    <t>peach spritz</t>
  </si>
  <si>
    <t>ranch water</t>
  </si>
  <si>
    <t>$5 margaritas (Tuesdays)</t>
  </si>
  <si>
    <t>watermelon margarita</t>
  </si>
  <si>
    <t>old fashioned</t>
  </si>
  <si>
    <t>shot casa lujo blanco</t>
  </si>
  <si>
    <t>shot four roses bourbon</t>
  </si>
  <si>
    <t>total</t>
  </si>
  <si>
    <t>credit 18%</t>
  </si>
  <si>
    <t>HH Wine</t>
  </si>
  <si>
    <t>Debit GL Code</t>
  </si>
  <si>
    <t>Amount</t>
  </si>
  <si>
    <t>Sales Amenity</t>
  </si>
  <si>
    <t>bubbles</t>
  </si>
  <si>
    <t>Comp Breakfast</t>
  </si>
  <si>
    <t>Date</t>
  </si>
  <si>
    <t>rose</t>
  </si>
  <si>
    <t>Lobby Food/Snacks</t>
  </si>
  <si>
    <t>Veuve Cliquot - Hilton Exec</t>
  </si>
  <si>
    <t>white</t>
  </si>
  <si>
    <t>Manager Reception Food</t>
  </si>
  <si>
    <t>red</t>
  </si>
  <si>
    <t>Water - Front desk</t>
  </si>
  <si>
    <t>Food to Bar</t>
  </si>
  <si>
    <t>credit 28%</t>
  </si>
  <si>
    <t>Packages - Sales Promo</t>
  </si>
  <si>
    <t>September Lobby Tasting - Wine</t>
  </si>
  <si>
    <t>Guest Amenities - Sales Promo</t>
  </si>
  <si>
    <t>Amount Used</t>
  </si>
  <si>
    <t>HH Beer</t>
  </si>
  <si>
    <t>Employee Meals</t>
  </si>
  <si>
    <t>Frenzy x 5</t>
  </si>
  <si>
    <t>modelo especial</t>
  </si>
  <si>
    <t>Café</t>
  </si>
  <si>
    <t>lonestar</t>
  </si>
  <si>
    <t xml:space="preserve">Food Waste </t>
  </si>
  <si>
    <t>miller lite</t>
  </si>
  <si>
    <t xml:space="preserve">H108 Bar Comp </t>
  </si>
  <si>
    <t>$2 Lonestar cans</t>
  </si>
  <si>
    <t>Drink Tickets - H137</t>
  </si>
  <si>
    <t xml:space="preserve">Amenity - H88 </t>
  </si>
  <si>
    <t>credit 25%</t>
  </si>
  <si>
    <t>H23</t>
  </si>
  <si>
    <t>30% cost</t>
  </si>
  <si>
    <t>Wine 1/2 off Promo</t>
  </si>
  <si>
    <t>Other - $5 Green</t>
  </si>
  <si>
    <t xml:space="preserve">Wine Waste </t>
  </si>
  <si>
    <t xml:space="preserve">Owners Collection </t>
  </si>
  <si>
    <t>OR Cost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</si>
</sst>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&quot;$&quot;#,##0.00"/>
    <numFmt numFmtId="165" formatCode="0.0"/>
    <numFmt numFmtId="166" formatCode="m/d"/>
    <numFmt numFmtId="167" formatCode="&quot;$&quot;#,##0"/>
    <numFmt numFmtId="168" formatCode="_(&quot;$&quot;* #,##0_);_(&quot;$&quot;* \(#,##0\);_(&quot;$&quot;* &quot;-&quot;??_);_(@_)"/>
  </numFmts>
  <fonts count="21" x14ac:knownFonts="1">
    <font>
      <sz val="11"/>
      <color theme="1"/>
      <name val="Calibri"/>
      <scheme val="minor"/>
    </font>
    <font>
      <sz val="28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34"/>
      <color theme="1"/>
      <name val="Calibri"/>
    </font>
    <font>
      <sz val="12"/>
      <color theme="1"/>
      <name val="Calibri"/>
    </font>
    <font>
      <sz val="11"/>
      <color rgb="FFFF0000"/>
      <name val="Calibri"/>
    </font>
    <font>
      <sz val="10"/>
      <color theme="1"/>
      <name val="Calibri"/>
    </font>
    <font>
      <sz val="11"/>
      <color rgb="FFFFFFFF"/>
      <name val="Calibri"/>
    </font>
    <font>
      <b/>
      <sz val="18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6"/>
      <color theme="1"/>
      <name val="Calibri"/>
    </font>
    <font>
      <b/>
      <sz val="13"/>
      <color theme="1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8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C000"/>
        <bgColor rgb="FFFFC000"/>
      </patternFill>
    </fill>
    <fill>
      <patternFill patternType="solid">
        <fgColor rgb="FFCC4125"/>
        <bgColor rgb="FFCC4125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DDEBF7"/>
        <bgColor rgb="FFDDEBF7"/>
      </patternFill>
    </fill>
    <fill>
      <patternFill patternType="solid">
        <fgColor theme="7"/>
        <bgColor theme="7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theme="1"/>
        <bgColor theme="1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rgb="FF0070C0"/>
        <bgColor rgb="FF0070C0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theme="5"/>
        <bgColor theme="5"/>
      </patternFill>
    </fill>
    <fill>
      <patternFill patternType="solid">
        <fgColor rgb="FFB4A7D6"/>
        <bgColor rgb="FFB4A7D6"/>
      </patternFill>
    </fill>
  </fills>
  <borders count="6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90">
    <xf numFmtId="0" fontId="0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44" fontId="3" fillId="0" borderId="4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2" fontId="3" fillId="0" borderId="4" xfId="0" applyNumberFormat="1" applyFont="1" applyBorder="1" applyAlignment="1">
      <alignment horizontal="left"/>
    </xf>
    <xf numFmtId="44" fontId="3" fillId="0" borderId="4" xfId="0" applyNumberFormat="1" applyFont="1" applyBorder="1"/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2" borderId="4" xfId="0" applyFont="1" applyFill="1" applyBorder="1"/>
    <xf numFmtId="2" fontId="3" fillId="2" borderId="4" xfId="0" applyNumberFormat="1" applyFont="1" applyFill="1" applyBorder="1" applyAlignment="1">
      <alignment horizontal="center"/>
    </xf>
    <xf numFmtId="2" fontId="3" fillId="2" borderId="4" xfId="0" applyNumberFormat="1" applyFont="1" applyFill="1" applyBorder="1"/>
    <xf numFmtId="44" fontId="3" fillId="2" borderId="4" xfId="0" applyNumberFormat="1" applyFont="1" applyFill="1" applyBorder="1" applyAlignment="1">
      <alignment horizontal="center"/>
    </xf>
    <xf numFmtId="10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10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2" fontId="3" fillId="0" borderId="4" xfId="0" applyNumberFormat="1" applyFont="1" applyBorder="1"/>
    <xf numFmtId="2" fontId="3" fillId="3" borderId="4" xfId="0" applyNumberFormat="1" applyFont="1" applyFill="1" applyBorder="1"/>
    <xf numFmtId="10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2" fontId="3" fillId="4" borderId="4" xfId="0" applyNumberFormat="1" applyFont="1" applyFill="1" applyBorder="1"/>
    <xf numFmtId="0" fontId="3" fillId="2" borderId="6" xfId="0" applyFont="1" applyFill="1" applyBorder="1" applyAlignment="1">
      <alignment horizontal="right"/>
    </xf>
    <xf numFmtId="2" fontId="3" fillId="5" borderId="4" xfId="0" applyNumberFormat="1" applyFont="1" applyFill="1" applyBorder="1"/>
    <xf numFmtId="0" fontId="3" fillId="6" borderId="4" xfId="0" applyFont="1" applyFill="1" applyBorder="1"/>
    <xf numFmtId="2" fontId="3" fillId="6" borderId="4" xfId="0" applyNumberFormat="1" applyFont="1" applyFill="1" applyBorder="1" applyAlignment="1">
      <alignment horizontal="center"/>
    </xf>
    <xf numFmtId="44" fontId="3" fillId="2" borderId="4" xfId="0" applyNumberFormat="1" applyFont="1" applyFill="1" applyBorder="1" applyAlignment="1">
      <alignment horizontal="right"/>
    </xf>
    <xf numFmtId="44" fontId="3" fillId="2" borderId="4" xfId="0" applyNumberFormat="1" applyFont="1" applyFill="1" applyBorder="1"/>
    <xf numFmtId="4" fontId="3" fillId="2" borderId="4" xfId="0" applyNumberFormat="1" applyFont="1" applyFill="1" applyBorder="1" applyAlignment="1">
      <alignment horizontal="center"/>
    </xf>
    <xf numFmtId="44" fontId="3" fillId="7" borderId="4" xfId="0" applyNumberFormat="1" applyFont="1" applyFill="1" applyBorder="1"/>
    <xf numFmtId="44" fontId="3" fillId="8" borderId="4" xfId="0" applyNumberFormat="1" applyFont="1" applyFill="1" applyBorder="1" applyAlignment="1">
      <alignment horizontal="right"/>
    </xf>
    <xf numFmtId="0" fontId="3" fillId="9" borderId="4" xfId="0" applyFont="1" applyFill="1" applyBorder="1"/>
    <xf numFmtId="2" fontId="3" fillId="9" borderId="4" xfId="0" applyNumberFormat="1" applyFont="1" applyFill="1" applyBorder="1" applyAlignment="1">
      <alignment horizontal="center"/>
    </xf>
    <xf numFmtId="2" fontId="3" fillId="10" borderId="4" xfId="0" applyNumberFormat="1" applyFont="1" applyFill="1" applyBorder="1"/>
    <xf numFmtId="0" fontId="3" fillId="2" borderId="4" xfId="0" applyFont="1" applyFill="1" applyBorder="1" applyAlignment="1">
      <alignment horizontal="center"/>
    </xf>
    <xf numFmtId="44" fontId="3" fillId="7" borderId="4" xfId="0" applyNumberFormat="1" applyFont="1" applyFill="1" applyBorder="1" applyAlignment="1">
      <alignment horizontal="right"/>
    </xf>
    <xf numFmtId="0" fontId="3" fillId="2" borderId="4" xfId="0" applyFont="1" applyFill="1" applyBorder="1" applyAlignment="1"/>
    <xf numFmtId="0" fontId="3" fillId="0" borderId="4" xfId="0" applyFont="1" applyBorder="1" applyAlignment="1"/>
    <xf numFmtId="2" fontId="3" fillId="11" borderId="4" xfId="0" applyNumberFormat="1" applyFont="1" applyFill="1" applyBorder="1"/>
    <xf numFmtId="2" fontId="4" fillId="2" borderId="4" xfId="0" applyNumberFormat="1" applyFont="1" applyFill="1" applyBorder="1" applyAlignment="1">
      <alignment horizontal="left"/>
    </xf>
    <xf numFmtId="44" fontId="3" fillId="8" borderId="4" xfId="0" applyNumberFormat="1" applyFont="1" applyFill="1" applyBorder="1"/>
    <xf numFmtId="2" fontId="3" fillId="7" borderId="4" xfId="0" applyNumberFormat="1" applyFont="1" applyFill="1" applyBorder="1"/>
    <xf numFmtId="2" fontId="3" fillId="12" borderId="4" xfId="0" applyNumberFormat="1" applyFont="1" applyFill="1" applyBorder="1"/>
    <xf numFmtId="0" fontId="3" fillId="9" borderId="4" xfId="0" applyFont="1" applyFill="1" applyBorder="1" applyAlignment="1">
      <alignment vertical="center"/>
    </xf>
    <xf numFmtId="2" fontId="3" fillId="9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vertical="center"/>
    </xf>
    <xf numFmtId="44" fontId="3" fillId="8" borderId="4" xfId="0" applyNumberFormat="1" applyFont="1" applyFill="1" applyBorder="1" applyAlignment="1">
      <alignment horizontal="right" vertical="center"/>
    </xf>
    <xf numFmtId="44" fontId="3" fillId="7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44" fontId="3" fillId="2" borderId="4" xfId="0" applyNumberFormat="1" applyFont="1" applyFill="1" applyBorder="1" applyAlignment="1">
      <alignment horizontal="right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/>
    </xf>
    <xf numFmtId="2" fontId="3" fillId="13" borderId="4" xfId="0" applyNumberFormat="1" applyFont="1" applyFill="1" applyBorder="1"/>
    <xf numFmtId="0" fontId="5" fillId="0" borderId="0" xfId="0" applyFont="1"/>
    <xf numFmtId="44" fontId="3" fillId="14" borderId="4" xfId="0" applyNumberFormat="1" applyFont="1" applyFill="1" applyBorder="1"/>
    <xf numFmtId="2" fontId="3" fillId="11" borderId="4" xfId="0" applyNumberFormat="1" applyFont="1" applyFill="1" applyBorder="1"/>
    <xf numFmtId="2" fontId="3" fillId="8" borderId="4" xfId="0" applyNumberFormat="1" applyFont="1" applyFill="1" applyBorder="1"/>
    <xf numFmtId="2" fontId="4" fillId="4" borderId="4" xfId="0" applyNumberFormat="1" applyFont="1" applyFill="1" applyBorder="1"/>
    <xf numFmtId="0" fontId="3" fillId="0" borderId="0" xfId="0" applyFont="1"/>
    <xf numFmtId="0" fontId="3" fillId="0" borderId="0" xfId="0" applyFont="1" applyAlignment="1"/>
    <xf numFmtId="0" fontId="3" fillId="15" borderId="4" xfId="0" applyFont="1" applyFill="1" applyBorder="1"/>
    <xf numFmtId="0" fontId="4" fillId="6" borderId="4" xfId="0" applyFont="1" applyFill="1" applyBorder="1"/>
    <xf numFmtId="2" fontId="4" fillId="9" borderId="4" xfId="0" applyNumberFormat="1" applyFont="1" applyFill="1" applyBorder="1" applyAlignment="1">
      <alignment horizontal="center"/>
    </xf>
    <xf numFmtId="44" fontId="3" fillId="0" borderId="4" xfId="0" applyNumberFormat="1" applyFont="1" applyBorder="1" applyAlignment="1">
      <alignment horizontal="left"/>
    </xf>
    <xf numFmtId="2" fontId="3" fillId="12" borderId="4" xfId="0" applyNumberFormat="1" applyFont="1" applyFill="1" applyBorder="1"/>
    <xf numFmtId="44" fontId="3" fillId="6" borderId="4" xfId="0" applyNumberFormat="1" applyFont="1" applyFill="1" applyBorder="1"/>
    <xf numFmtId="10" fontId="3" fillId="6" borderId="4" xfId="0" applyNumberFormat="1" applyFont="1" applyFill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/>
    <xf numFmtId="44" fontId="3" fillId="0" borderId="4" xfId="0" applyNumberFormat="1" applyFont="1" applyBorder="1" applyAlignment="1"/>
    <xf numFmtId="0" fontId="3" fillId="16" borderId="4" xfId="0" applyFont="1" applyFill="1" applyBorder="1"/>
    <xf numFmtId="2" fontId="3" fillId="16" borderId="4" xfId="0" applyNumberFormat="1" applyFont="1" applyFill="1" applyBorder="1" applyAlignment="1">
      <alignment horizontal="center"/>
    </xf>
    <xf numFmtId="44" fontId="3" fillId="5" borderId="4" xfId="0" applyNumberFormat="1" applyFont="1" applyFill="1" applyBorder="1"/>
    <xf numFmtId="44" fontId="6" fillId="5" borderId="4" xfId="0" applyNumberFormat="1" applyFont="1" applyFill="1" applyBorder="1"/>
    <xf numFmtId="10" fontId="6" fillId="5" borderId="4" xfId="0" applyNumberFormat="1" applyFont="1" applyFill="1" applyBorder="1" applyAlignment="1">
      <alignment horizontal="center"/>
    </xf>
    <xf numFmtId="0" fontId="6" fillId="5" borderId="4" xfId="0" applyFont="1" applyFill="1" applyBorder="1"/>
    <xf numFmtId="0" fontId="6" fillId="5" borderId="4" xfId="0" applyFont="1" applyFill="1" applyBorder="1" applyAlignment="1">
      <alignment horizontal="center"/>
    </xf>
    <xf numFmtId="2" fontId="6" fillId="5" borderId="4" xfId="0" applyNumberFormat="1" applyFont="1" applyFill="1" applyBorder="1" applyAlignment="1">
      <alignment horizontal="right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/>
    <xf numFmtId="44" fontId="3" fillId="0" borderId="5" xfId="0" applyNumberFormat="1" applyFont="1" applyBorder="1"/>
    <xf numFmtId="0" fontId="6" fillId="0" borderId="5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6" fillId="0" borderId="4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6" fillId="17" borderId="7" xfId="0" applyNumberFormat="1" applyFont="1" applyFill="1" applyBorder="1" applyAlignment="1">
      <alignment horizontal="center"/>
    </xf>
    <xf numFmtId="44" fontId="6" fillId="17" borderId="7" xfId="0" applyNumberFormat="1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0" applyNumberFormat="1" applyFont="1" applyBorder="1"/>
    <xf numFmtId="2" fontId="3" fillId="0" borderId="7" xfId="0" applyNumberFormat="1" applyFont="1" applyBorder="1" applyAlignment="1">
      <alignment vertical="center"/>
    </xf>
    <xf numFmtId="165" fontId="3" fillId="18" borderId="7" xfId="0" applyNumberFormat="1" applyFont="1" applyFill="1" applyBorder="1" applyAlignment="1">
      <alignment horizontal="center"/>
    </xf>
    <xf numFmtId="10" fontId="3" fillId="19" borderId="7" xfId="0" applyNumberFormat="1" applyFont="1" applyFill="1" applyBorder="1"/>
    <xf numFmtId="165" fontId="3" fillId="0" borderId="7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/>
    <xf numFmtId="44" fontId="3" fillId="0" borderId="4" xfId="0" applyNumberFormat="1" applyFont="1" applyBorder="1" applyAlignment="1">
      <alignment horizontal="center"/>
    </xf>
    <xf numFmtId="44" fontId="3" fillId="0" borderId="4" xfId="0" applyNumberFormat="1" applyFont="1" applyBorder="1"/>
    <xf numFmtId="44" fontId="3" fillId="0" borderId="0" xfId="0" applyNumberFormat="1" applyFont="1"/>
    <xf numFmtId="44" fontId="6" fillId="0" borderId="0" xfId="0" applyNumberFormat="1" applyFont="1" applyAlignment="1">
      <alignment horizontal="center"/>
    </xf>
    <xf numFmtId="0" fontId="3" fillId="0" borderId="0" xfId="0" applyFont="1"/>
    <xf numFmtId="10" fontId="3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3" fillId="18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/>
    <xf numFmtId="2" fontId="3" fillId="0" borderId="4" xfId="0" applyNumberFormat="1" applyFont="1" applyBorder="1"/>
    <xf numFmtId="10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19" borderId="7" xfId="0" applyFont="1" applyFill="1" applyBorder="1"/>
    <xf numFmtId="2" fontId="3" fillId="0" borderId="7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4" fontId="6" fillId="0" borderId="4" xfId="0" applyNumberFormat="1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3" fillId="20" borderId="4" xfId="0" applyFont="1" applyFill="1" applyBorder="1" applyAlignment="1"/>
    <xf numFmtId="0" fontId="3" fillId="20" borderId="4" xfId="0" applyFont="1" applyFill="1" applyBorder="1"/>
    <xf numFmtId="10" fontId="3" fillId="0" borderId="4" xfId="0" applyNumberFormat="1" applyFont="1" applyBorder="1"/>
    <xf numFmtId="10" fontId="3" fillId="21" borderId="4" xfId="0" applyNumberFormat="1" applyFont="1" applyFill="1" applyBorder="1"/>
    <xf numFmtId="0" fontId="3" fillId="11" borderId="4" xfId="0" applyFont="1" applyFill="1" applyBorder="1"/>
    <xf numFmtId="0" fontId="8" fillId="0" borderId="4" xfId="0" applyFont="1" applyBorder="1"/>
    <xf numFmtId="2" fontId="8" fillId="2" borderId="4" xfId="0" applyNumberFormat="1" applyFont="1" applyFill="1" applyBorder="1"/>
    <xf numFmtId="44" fontId="3" fillId="21" borderId="4" xfId="0" applyNumberFormat="1" applyFont="1" applyFill="1" applyBorder="1"/>
    <xf numFmtId="0" fontId="3" fillId="22" borderId="4" xfId="0" applyFont="1" applyFill="1" applyBorder="1"/>
    <xf numFmtId="0" fontId="3" fillId="23" borderId="4" xfId="0" applyFont="1" applyFill="1" applyBorder="1"/>
    <xf numFmtId="2" fontId="3" fillId="2" borderId="4" xfId="0" applyNumberFormat="1" applyFont="1" applyFill="1" applyBorder="1" applyAlignment="1"/>
    <xf numFmtId="0" fontId="3" fillId="24" borderId="4" xfId="0" applyFont="1" applyFill="1" applyBorder="1"/>
    <xf numFmtId="44" fontId="3" fillId="24" borderId="4" xfId="0" applyNumberFormat="1" applyFont="1" applyFill="1" applyBorder="1"/>
    <xf numFmtId="10" fontId="3" fillId="24" borderId="4" xfId="0" applyNumberFormat="1" applyFont="1" applyFill="1" applyBorder="1"/>
    <xf numFmtId="0" fontId="3" fillId="25" borderId="4" xfId="0" applyFont="1" applyFill="1" applyBorder="1"/>
    <xf numFmtId="0" fontId="3" fillId="9" borderId="4" xfId="0" applyFont="1" applyFill="1" applyBorder="1" applyAlignment="1"/>
    <xf numFmtId="0" fontId="9" fillId="22" borderId="4" xfId="0" applyFont="1" applyFill="1" applyBorder="1" applyAlignment="1"/>
    <xf numFmtId="0" fontId="3" fillId="22" borderId="4" xfId="0" applyFont="1" applyFill="1" applyBorder="1" applyAlignment="1"/>
    <xf numFmtId="0" fontId="3" fillId="26" borderId="4" xfId="0" applyFont="1" applyFill="1" applyBorder="1"/>
    <xf numFmtId="2" fontId="3" fillId="26" borderId="4" xfId="0" applyNumberFormat="1" applyFont="1" applyFill="1" applyBorder="1"/>
    <xf numFmtId="0" fontId="6" fillId="0" borderId="4" xfId="0" applyFont="1" applyBorder="1"/>
    <xf numFmtId="2" fontId="6" fillId="0" borderId="4" xfId="0" applyNumberFormat="1" applyFont="1" applyBorder="1"/>
    <xf numFmtId="0" fontId="6" fillId="16" borderId="4" xfId="0" applyFont="1" applyFill="1" applyBorder="1"/>
    <xf numFmtId="44" fontId="6" fillId="16" borderId="4" xfId="0" applyNumberFormat="1" applyFont="1" applyFill="1" applyBorder="1"/>
    <xf numFmtId="10" fontId="6" fillId="16" borderId="4" xfId="0" applyNumberFormat="1" applyFont="1" applyFill="1" applyBorder="1"/>
    <xf numFmtId="0" fontId="6" fillId="0" borderId="4" xfId="0" applyFont="1" applyBorder="1"/>
    <xf numFmtId="10" fontId="3" fillId="0" borderId="4" xfId="0" applyNumberFormat="1" applyFont="1" applyBorder="1"/>
    <xf numFmtId="10" fontId="6" fillId="0" borderId="4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44" fontId="6" fillId="0" borderId="10" xfId="0" applyNumberFormat="1" applyFont="1" applyBorder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3" fillId="2" borderId="11" xfId="0" applyNumberFormat="1" applyFont="1" applyFill="1" applyBorder="1"/>
    <xf numFmtId="44" fontId="3" fillId="0" borderId="0" xfId="0" applyNumberFormat="1" applyFont="1"/>
    <xf numFmtId="10" fontId="3" fillId="0" borderId="0" xfId="0" applyNumberFormat="1" applyFont="1"/>
    <xf numFmtId="0" fontId="8" fillId="0" borderId="0" xfId="0" applyFont="1"/>
    <xf numFmtId="0" fontId="3" fillId="24" borderId="12" xfId="0" applyFont="1" applyFill="1" applyBorder="1"/>
    <xf numFmtId="0" fontId="10" fillId="0" borderId="0" xfId="0" applyFont="1"/>
    <xf numFmtId="0" fontId="3" fillId="9" borderId="12" xfId="0" applyFont="1" applyFill="1" applyBorder="1"/>
    <xf numFmtId="2" fontId="3" fillId="2" borderId="13" xfId="0" applyNumberFormat="1" applyFont="1" applyFill="1" applyBorder="1"/>
    <xf numFmtId="44" fontId="3" fillId="7" borderId="12" xfId="0" applyNumberFormat="1" applyFont="1" applyFill="1" applyBorder="1"/>
    <xf numFmtId="2" fontId="3" fillId="2" borderId="12" xfId="0" applyNumberFormat="1" applyFont="1" applyFill="1" applyBorder="1"/>
    <xf numFmtId="2" fontId="3" fillId="16" borderId="4" xfId="0" applyNumberFormat="1" applyFont="1" applyFill="1" applyBorder="1"/>
    <xf numFmtId="44" fontId="3" fillId="16" borderId="4" xfId="0" applyNumberFormat="1" applyFont="1" applyFill="1" applyBorder="1"/>
    <xf numFmtId="10" fontId="3" fillId="16" borderId="4" xfId="0" applyNumberFormat="1" applyFont="1" applyFill="1" applyBorder="1"/>
    <xf numFmtId="44" fontId="6" fillId="27" borderId="4" xfId="0" applyNumberFormat="1" applyFont="1" applyFill="1" applyBorder="1"/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44" fontId="3" fillId="0" borderId="17" xfId="0" applyNumberFormat="1" applyFont="1" applyBorder="1" applyAlignment="1">
      <alignment horizontal="center"/>
    </xf>
    <xf numFmtId="10" fontId="3" fillId="0" borderId="17" xfId="0" applyNumberFormat="1" applyFont="1" applyBorder="1" applyAlignment="1">
      <alignment horizontal="center"/>
    </xf>
    <xf numFmtId="0" fontId="3" fillId="25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 textRotation="90"/>
    </xf>
    <xf numFmtId="0" fontId="3" fillId="0" borderId="17" xfId="0" applyFont="1" applyBorder="1"/>
    <xf numFmtId="44" fontId="3" fillId="0" borderId="17" xfId="0" applyNumberFormat="1" applyFont="1" applyBorder="1"/>
    <xf numFmtId="44" fontId="3" fillId="2" borderId="17" xfId="0" applyNumberFormat="1" applyFont="1" applyFill="1" applyBorder="1" applyAlignment="1">
      <alignment horizontal="right"/>
    </xf>
    <xf numFmtId="10" fontId="3" fillId="2" borderId="17" xfId="0" applyNumberFormat="1" applyFont="1" applyFill="1" applyBorder="1" applyAlignment="1">
      <alignment horizontal="right"/>
    </xf>
    <xf numFmtId="0" fontId="8" fillId="0" borderId="17" xfId="0" applyFont="1" applyBorder="1"/>
    <xf numFmtId="0" fontId="3" fillId="2" borderId="17" xfId="0" applyFont="1" applyFill="1" applyBorder="1"/>
    <xf numFmtId="0" fontId="8" fillId="0" borderId="17" xfId="0" applyFont="1" applyBorder="1" applyAlignment="1"/>
    <xf numFmtId="0" fontId="3" fillId="2" borderId="17" xfId="0" applyFont="1" applyFill="1" applyBorder="1" applyAlignment="1">
      <alignment horizontal="right"/>
    </xf>
    <xf numFmtId="0" fontId="3" fillId="0" borderId="17" xfId="0" applyFont="1" applyBorder="1" applyAlignment="1"/>
    <xf numFmtId="0" fontId="3" fillId="24" borderId="17" xfId="0" applyFont="1" applyFill="1" applyBorder="1" applyAlignment="1">
      <alignment horizontal="center" vertical="center" textRotation="90"/>
    </xf>
    <xf numFmtId="44" fontId="3" fillId="8" borderId="17" xfId="0" applyNumberFormat="1" applyFont="1" applyFill="1" applyBorder="1"/>
    <xf numFmtId="10" fontId="3" fillId="0" borderId="17" xfId="0" applyNumberFormat="1" applyFont="1" applyBorder="1"/>
    <xf numFmtId="0" fontId="8" fillId="2" borderId="17" xfId="0" applyFont="1" applyFill="1" applyBorder="1"/>
    <xf numFmtId="44" fontId="8" fillId="0" borderId="17" xfId="0" applyNumberFormat="1" applyFont="1" applyBorder="1"/>
    <xf numFmtId="44" fontId="3" fillId="7" borderId="17" xfId="0" applyNumberFormat="1" applyFont="1" applyFill="1" applyBorder="1"/>
    <xf numFmtId="0" fontId="11" fillId="28" borderId="17" xfId="0" applyFont="1" applyFill="1" applyBorder="1"/>
    <xf numFmtId="44" fontId="3" fillId="7" borderId="17" xfId="0" applyNumberFormat="1" applyFont="1" applyFill="1" applyBorder="1" applyAlignment="1">
      <alignment horizontal="right"/>
    </xf>
    <xf numFmtId="0" fontId="8" fillId="2" borderId="17" xfId="0" applyFont="1" applyFill="1" applyBorder="1" applyAlignment="1">
      <alignment horizontal="right"/>
    </xf>
    <xf numFmtId="0" fontId="3" fillId="16" borderId="17" xfId="0" applyFont="1" applyFill="1" applyBorder="1"/>
    <xf numFmtId="0" fontId="6" fillId="16" borderId="17" xfId="0" applyFont="1" applyFill="1" applyBorder="1"/>
    <xf numFmtId="44" fontId="6" fillId="16" borderId="17" xfId="0" applyNumberFormat="1" applyFont="1" applyFill="1" applyBorder="1"/>
    <xf numFmtId="10" fontId="6" fillId="16" borderId="17" xfId="0" applyNumberFormat="1" applyFont="1" applyFill="1" applyBorder="1"/>
    <xf numFmtId="44" fontId="6" fillId="0" borderId="17" xfId="0" applyNumberFormat="1" applyFont="1" applyBorder="1"/>
    <xf numFmtId="0" fontId="6" fillId="0" borderId="17" xfId="0" applyFont="1" applyBorder="1"/>
    <xf numFmtId="44" fontId="3" fillId="0" borderId="17" xfId="0" applyNumberFormat="1" applyFont="1" applyBorder="1"/>
    <xf numFmtId="10" fontId="3" fillId="0" borderId="17" xfId="0" applyNumberFormat="1" applyFont="1" applyBorder="1"/>
    <xf numFmtId="0" fontId="3" fillId="25" borderId="17" xfId="0" applyFont="1" applyFill="1" applyBorder="1"/>
    <xf numFmtId="0" fontId="6" fillId="0" borderId="10" xfId="0" applyFont="1" applyBorder="1" applyAlignment="1">
      <alignment horizontal="center"/>
    </xf>
    <xf numFmtId="44" fontId="6" fillId="0" borderId="10" xfId="0" applyNumberFormat="1" applyFont="1" applyBorder="1" applyAlignment="1">
      <alignment horizontal="center"/>
    </xf>
    <xf numFmtId="0" fontId="3" fillId="2" borderId="11" xfId="0" applyFont="1" applyFill="1" applyBorder="1"/>
    <xf numFmtId="44" fontId="3" fillId="2" borderId="11" xfId="0" applyNumberFormat="1" applyFont="1" applyFill="1" applyBorder="1"/>
    <xf numFmtId="10" fontId="3" fillId="2" borderId="11" xfId="0" applyNumberFormat="1" applyFont="1" applyFill="1" applyBorder="1"/>
    <xf numFmtId="0" fontId="3" fillId="0" borderId="11" xfId="0" applyFont="1" applyBorder="1"/>
    <xf numFmtId="44" fontId="3" fillId="0" borderId="11" xfId="0" applyNumberFormat="1" applyFont="1" applyBorder="1"/>
    <xf numFmtId="10" fontId="3" fillId="0" borderId="11" xfId="0" applyNumberFormat="1" applyFont="1" applyBorder="1"/>
    <xf numFmtId="37" fontId="3" fillId="0" borderId="11" xfId="0" applyNumberFormat="1" applyFont="1" applyBorder="1"/>
    <xf numFmtId="0" fontId="3" fillId="24" borderId="11" xfId="0" applyFont="1" applyFill="1" applyBorder="1"/>
    <xf numFmtId="44" fontId="3" fillId="24" borderId="11" xfId="0" applyNumberFormat="1" applyFont="1" applyFill="1" applyBorder="1"/>
    <xf numFmtId="10" fontId="3" fillId="24" borderId="11" xfId="0" applyNumberFormat="1" applyFont="1" applyFill="1" applyBorder="1"/>
    <xf numFmtId="0" fontId="3" fillId="0" borderId="0" xfId="0" applyFont="1" applyAlignment="1">
      <alignment horizontal="center"/>
    </xf>
    <xf numFmtId="0" fontId="13" fillId="0" borderId="0" xfId="0" applyFont="1"/>
    <xf numFmtId="0" fontId="14" fillId="29" borderId="24" xfId="0" applyFont="1" applyFill="1" applyBorder="1" applyAlignment="1">
      <alignment horizontal="center"/>
    </xf>
    <xf numFmtId="0" fontId="14" fillId="29" borderId="25" xfId="0" applyFont="1" applyFill="1" applyBorder="1" applyAlignment="1">
      <alignment horizontal="center"/>
    </xf>
    <xf numFmtId="166" fontId="13" fillId="0" borderId="29" xfId="0" applyNumberFormat="1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164" fontId="13" fillId="0" borderId="31" xfId="0" applyNumberFormat="1" applyFont="1" applyBorder="1" applyAlignment="1">
      <alignment horizontal="center"/>
    </xf>
    <xf numFmtId="164" fontId="13" fillId="0" borderId="32" xfId="0" applyNumberFormat="1" applyFont="1" applyBorder="1" applyAlignment="1">
      <alignment horizontal="right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164" fontId="13" fillId="0" borderId="35" xfId="0" applyNumberFormat="1" applyFont="1" applyBorder="1" applyAlignment="1">
      <alignment horizontal="center"/>
    </xf>
    <xf numFmtId="166" fontId="13" fillId="0" borderId="36" xfId="0" applyNumberFormat="1" applyFont="1" applyBorder="1" applyAlignment="1">
      <alignment horizontal="center"/>
    </xf>
    <xf numFmtId="164" fontId="13" fillId="25" borderId="37" xfId="0" applyNumberFormat="1" applyFont="1" applyFill="1" applyBorder="1" applyAlignment="1">
      <alignment horizontal="center"/>
    </xf>
    <xf numFmtId="0" fontId="15" fillId="25" borderId="38" xfId="0" applyFont="1" applyFill="1" applyBorder="1" applyAlignment="1">
      <alignment horizontal="center"/>
    </xf>
    <xf numFmtId="0" fontId="14" fillId="25" borderId="12" xfId="0" applyFont="1" applyFill="1" applyBorder="1"/>
    <xf numFmtId="0" fontId="6" fillId="25" borderId="12" xfId="0" applyFont="1" applyFill="1" applyBorder="1"/>
    <xf numFmtId="0" fontId="3" fillId="25" borderId="12" xfId="0" applyFont="1" applyFill="1" applyBorder="1"/>
    <xf numFmtId="166" fontId="14" fillId="0" borderId="29" xfId="0" applyNumberFormat="1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164" fontId="13" fillId="0" borderId="32" xfId="0" applyNumberFormat="1" applyFont="1" applyBorder="1"/>
    <xf numFmtId="0" fontId="14" fillId="0" borderId="29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64" fontId="13" fillId="0" borderId="40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right"/>
    </xf>
    <xf numFmtId="0" fontId="13" fillId="0" borderId="22" xfId="0" applyFont="1" applyBorder="1"/>
    <xf numFmtId="0" fontId="13" fillId="0" borderId="0" xfId="0" applyFont="1" applyAlignment="1">
      <alignment horizontal="center"/>
    </xf>
    <xf numFmtId="0" fontId="13" fillId="0" borderId="32" xfId="0" applyFont="1" applyBorder="1" applyAlignment="1">
      <alignment horizontal="center"/>
    </xf>
    <xf numFmtId="0" fontId="14" fillId="17" borderId="25" xfId="0" applyFont="1" applyFill="1" applyBorder="1" applyAlignment="1">
      <alignment horizontal="right"/>
    </xf>
    <xf numFmtId="167" fontId="14" fillId="16" borderId="25" xfId="0" applyNumberFormat="1" applyFont="1" applyFill="1" applyBorder="1" applyAlignment="1">
      <alignment horizontal="right"/>
    </xf>
    <xf numFmtId="0" fontId="3" fillId="0" borderId="44" xfId="0" applyFont="1" applyBorder="1"/>
    <xf numFmtId="0" fontId="3" fillId="0" borderId="32" xfId="0" applyFont="1" applyBorder="1"/>
    <xf numFmtId="44" fontId="8" fillId="2" borderId="47" xfId="0" applyNumberFormat="1" applyFont="1" applyFill="1" applyBorder="1" applyAlignment="1"/>
    <xf numFmtId="0" fontId="6" fillId="25" borderId="48" xfId="0" applyFont="1" applyFill="1" applyBorder="1" applyAlignment="1">
      <alignment horizontal="center"/>
    </xf>
    <xf numFmtId="167" fontId="6" fillId="25" borderId="48" xfId="0" applyNumberFormat="1" applyFont="1" applyFill="1" applyBorder="1" applyAlignment="1">
      <alignment horizontal="center"/>
    </xf>
    <xf numFmtId="0" fontId="6" fillId="0" borderId="49" xfId="0" applyFont="1" applyBorder="1"/>
    <xf numFmtId="167" fontId="6" fillId="0" borderId="0" xfId="0" applyNumberFormat="1" applyFont="1" applyAlignment="1">
      <alignment horizontal="center"/>
    </xf>
    <xf numFmtId="0" fontId="6" fillId="0" borderId="0" xfId="0" applyFont="1"/>
    <xf numFmtId="0" fontId="3" fillId="25" borderId="7" xfId="0" applyFont="1" applyFill="1" applyBorder="1" applyAlignment="1">
      <alignment horizontal="center"/>
    </xf>
    <xf numFmtId="164" fontId="3" fillId="25" borderId="7" xfId="0" applyNumberFormat="1" applyFont="1" applyFill="1" applyBorder="1" applyAlignment="1">
      <alignment horizontal="center"/>
    </xf>
    <xf numFmtId="164" fontId="3" fillId="0" borderId="7" xfId="0" applyNumberFormat="1" applyFont="1" applyBorder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44" fontId="8" fillId="2" borderId="7" xfId="0" applyNumberFormat="1" applyFont="1" applyFill="1" applyBorder="1"/>
    <xf numFmtId="44" fontId="3" fillId="2" borderId="7" xfId="0" applyNumberFormat="1" applyFont="1" applyFill="1" applyBorder="1"/>
    <xf numFmtId="0" fontId="4" fillId="16" borderId="7" xfId="0" applyFont="1" applyFill="1" applyBorder="1" applyAlignment="1">
      <alignment horizontal="center" vertical="top"/>
    </xf>
    <xf numFmtId="167" fontId="18" fillId="16" borderId="47" xfId="0" applyNumberFormat="1" applyFont="1" applyFill="1" applyBorder="1" applyAlignment="1">
      <alignment horizontal="center" vertical="top"/>
    </xf>
    <xf numFmtId="44" fontId="3" fillId="0" borderId="47" xfId="0" applyNumberFormat="1" applyFont="1" applyBorder="1"/>
    <xf numFmtId="0" fontId="10" fillId="0" borderId="0" xfId="0" applyFont="1"/>
    <xf numFmtId="167" fontId="3" fillId="25" borderId="7" xfId="0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44" fontId="3" fillId="0" borderId="32" xfId="0" applyNumberFormat="1" applyFont="1" applyBorder="1"/>
    <xf numFmtId="167" fontId="3" fillId="16" borderId="47" xfId="0" applyNumberFormat="1" applyFont="1" applyFill="1" applyBorder="1" applyAlignment="1">
      <alignment horizontal="center"/>
    </xf>
    <xf numFmtId="0" fontId="17" fillId="25" borderId="12" xfId="0" applyFont="1" applyFill="1" applyBorder="1" applyAlignment="1">
      <alignment horizontal="center"/>
    </xf>
    <xf numFmtId="0" fontId="3" fillId="2" borderId="7" xfId="0" applyFont="1" applyFill="1" applyBorder="1"/>
    <xf numFmtId="0" fontId="17" fillId="0" borderId="0" xfId="0" applyFont="1" applyAlignment="1">
      <alignment horizontal="right"/>
    </xf>
    <xf numFmtId="166" fontId="3" fillId="25" borderId="12" xfId="0" applyNumberFormat="1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164" fontId="3" fillId="25" borderId="48" xfId="0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horizontal="left"/>
    </xf>
    <xf numFmtId="4" fontId="3" fillId="6" borderId="7" xfId="0" applyNumberFormat="1" applyFont="1" applyFill="1" applyBorder="1"/>
    <xf numFmtId="0" fontId="3" fillId="2" borderId="7" xfId="0" applyFont="1" applyFill="1" applyBorder="1" applyAlignment="1">
      <alignment horizontal="left"/>
    </xf>
    <xf numFmtId="44" fontId="3" fillId="6" borderId="7" xfId="0" applyNumberFormat="1" applyFont="1" applyFill="1" applyBorder="1"/>
    <xf numFmtId="0" fontId="3" fillId="25" borderId="12" xfId="0" applyFont="1" applyFill="1" applyBorder="1" applyAlignment="1">
      <alignment horizontal="center"/>
    </xf>
    <xf numFmtId="0" fontId="10" fillId="25" borderId="12" xfId="0" applyFont="1" applyFill="1" applyBorder="1" applyAlignment="1">
      <alignment horizontal="center"/>
    </xf>
    <xf numFmtId="164" fontId="10" fillId="25" borderId="7" xfId="0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3" fillId="25" borderId="50" xfId="0" applyFont="1" applyFill="1" applyBorder="1" applyAlignment="1">
      <alignment horizontal="center"/>
    </xf>
    <xf numFmtId="44" fontId="3" fillId="2" borderId="47" xfId="0" applyNumberFormat="1" applyFont="1" applyFill="1" applyBorder="1"/>
    <xf numFmtId="164" fontId="6" fillId="16" borderId="7" xfId="0" applyNumberFormat="1" applyFont="1" applyFill="1" applyBorder="1"/>
    <xf numFmtId="164" fontId="3" fillId="16" borderId="7" xfId="0" applyNumberFormat="1" applyFont="1" applyFill="1" applyBorder="1"/>
    <xf numFmtId="167" fontId="3" fillId="16" borderId="7" xfId="0" applyNumberFormat="1" applyFont="1" applyFill="1" applyBorder="1"/>
    <xf numFmtId="164" fontId="6" fillId="25" borderId="51" xfId="0" applyNumberFormat="1" applyFont="1" applyFill="1" applyBorder="1"/>
    <xf numFmtId="164" fontId="6" fillId="0" borderId="0" xfId="0" applyNumberFormat="1" applyFont="1"/>
    <xf numFmtId="167" fontId="3" fillId="0" borderId="0" xfId="0" applyNumberFormat="1" applyFont="1"/>
    <xf numFmtId="164" fontId="6" fillId="25" borderId="52" xfId="0" applyNumberFormat="1" applyFont="1" applyFill="1" applyBorder="1"/>
    <xf numFmtId="0" fontId="6" fillId="6" borderId="12" xfId="0" applyFont="1" applyFill="1" applyBorder="1"/>
    <xf numFmtId="164" fontId="3" fillId="6" borderId="12" xfId="0" applyNumberFormat="1" applyFont="1" applyFill="1" applyBorder="1"/>
    <xf numFmtId="0" fontId="3" fillId="0" borderId="21" xfId="0" applyFont="1" applyBorder="1"/>
    <xf numFmtId="0" fontId="3" fillId="0" borderId="22" xfId="0" applyFont="1" applyBorder="1"/>
    <xf numFmtId="10" fontId="3" fillId="0" borderId="53" xfId="0" applyNumberFormat="1" applyFont="1" applyBorder="1"/>
    <xf numFmtId="0" fontId="5" fillId="0" borderId="0" xfId="0" applyFont="1"/>
    <xf numFmtId="0" fontId="19" fillId="25" borderId="12" xfId="0" applyFont="1" applyFill="1" applyBorder="1" applyAlignment="1">
      <alignment horizontal="left"/>
    </xf>
    <xf numFmtId="0" fontId="3" fillId="25" borderId="54" xfId="0" applyFont="1" applyFill="1" applyBorder="1"/>
    <xf numFmtId="0" fontId="3" fillId="0" borderId="14" xfId="0" applyFont="1" applyBorder="1"/>
    <xf numFmtId="0" fontId="6" fillId="5" borderId="7" xfId="0" applyFont="1" applyFill="1" applyBorder="1"/>
    <xf numFmtId="0" fontId="3" fillId="5" borderId="7" xfId="0" applyFont="1" applyFill="1" applyBorder="1" applyAlignment="1">
      <alignment horizontal="center"/>
    </xf>
    <xf numFmtId="0" fontId="3" fillId="0" borderId="58" xfId="0" applyFont="1" applyBorder="1"/>
    <xf numFmtId="0" fontId="3" fillId="25" borderId="59" xfId="0" applyFont="1" applyFill="1" applyBorder="1"/>
    <xf numFmtId="0" fontId="3" fillId="0" borderId="60" xfId="0" applyFont="1" applyBorder="1"/>
    <xf numFmtId="0" fontId="3" fillId="0" borderId="7" xfId="0" applyFont="1" applyBorder="1"/>
    <xf numFmtId="167" fontId="3" fillId="0" borderId="7" xfId="0" applyNumberFormat="1" applyFont="1" applyBorder="1" applyAlignment="1">
      <alignment horizontal="center"/>
    </xf>
    <xf numFmtId="0" fontId="6" fillId="16" borderId="7" xfId="0" applyFont="1" applyFill="1" applyBorder="1"/>
    <xf numFmtId="0" fontId="3" fillId="16" borderId="7" xfId="0" applyFont="1" applyFill="1" applyBorder="1"/>
    <xf numFmtId="167" fontId="3" fillId="16" borderId="7" xfId="0" applyNumberFormat="1" applyFont="1" applyFill="1" applyBorder="1" applyAlignment="1">
      <alignment horizontal="left"/>
    </xf>
    <xf numFmtId="0" fontId="4" fillId="24" borderId="7" xfId="0" applyFont="1" applyFill="1" applyBorder="1"/>
    <xf numFmtId="167" fontId="4" fillId="24" borderId="7" xfId="0" applyNumberFormat="1" applyFont="1" applyFill="1" applyBorder="1" applyAlignment="1">
      <alignment horizontal="center"/>
    </xf>
    <xf numFmtId="0" fontId="4" fillId="24" borderId="7" xfId="0" applyFont="1" applyFill="1" applyBorder="1" applyAlignment="1">
      <alignment horizontal="center"/>
    </xf>
    <xf numFmtId="44" fontId="3" fillId="2" borderId="61" xfId="0" applyNumberFormat="1" applyFont="1" applyFill="1" applyBorder="1" applyAlignment="1"/>
    <xf numFmtId="44" fontId="8" fillId="2" borderId="47" xfId="0" applyNumberFormat="1" applyFont="1" applyFill="1" applyBorder="1"/>
    <xf numFmtId="0" fontId="4" fillId="24" borderId="12" xfId="0" applyFont="1" applyFill="1" applyBorder="1"/>
    <xf numFmtId="167" fontId="4" fillId="24" borderId="7" xfId="0" applyNumberFormat="1" applyFont="1" applyFill="1" applyBorder="1"/>
    <xf numFmtId="44" fontId="3" fillId="0" borderId="8" xfId="0" applyNumberFormat="1" applyFont="1" applyBorder="1"/>
    <xf numFmtId="0" fontId="20" fillId="24" borderId="12" xfId="0" applyFont="1" applyFill="1" applyBorder="1" applyAlignment="1">
      <alignment horizontal="left"/>
    </xf>
    <xf numFmtId="0" fontId="20" fillId="24" borderId="12" xfId="0" applyFont="1" applyFill="1" applyBorder="1" applyAlignment="1">
      <alignment horizontal="right"/>
    </xf>
    <xf numFmtId="167" fontId="15" fillId="6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vertical="center" wrapText="1"/>
    </xf>
    <xf numFmtId="167" fontId="3" fillId="0" borderId="7" xfId="0" applyNumberFormat="1" applyFont="1" applyBorder="1"/>
    <xf numFmtId="0" fontId="3" fillId="2" borderId="48" xfId="0" applyFont="1" applyFill="1" applyBorder="1"/>
    <xf numFmtId="44" fontId="3" fillId="2" borderId="48" xfId="0" applyNumberFormat="1" applyFont="1" applyFill="1" applyBorder="1"/>
    <xf numFmtId="0" fontId="10" fillId="16" borderId="7" xfId="0" applyFont="1" applyFill="1" applyBorder="1"/>
    <xf numFmtId="166" fontId="3" fillId="16" borderId="7" xfId="0" applyNumberFormat="1" applyFont="1" applyFill="1" applyBorder="1" applyAlignment="1">
      <alignment horizontal="left"/>
    </xf>
    <xf numFmtId="0" fontId="3" fillId="16" borderId="7" xfId="0" applyFont="1" applyFill="1" applyBorder="1" applyAlignment="1">
      <alignment horizontal="center"/>
    </xf>
    <xf numFmtId="164" fontId="3" fillId="25" borderId="12" xfId="0" applyNumberFormat="1" applyFont="1" applyFill="1" applyBorder="1"/>
    <xf numFmtId="167" fontId="3" fillId="5" borderId="12" xfId="0" applyNumberFormat="1" applyFont="1" applyFill="1" applyBorder="1"/>
    <xf numFmtId="0" fontId="3" fillId="6" borderId="12" xfId="0" applyFont="1" applyFill="1" applyBorder="1"/>
    <xf numFmtId="0" fontId="6" fillId="32" borderId="12" xfId="0" applyFont="1" applyFill="1" applyBorder="1"/>
    <xf numFmtId="167" fontId="6" fillId="32" borderId="12" xfId="0" applyNumberFormat="1" applyFont="1" applyFill="1" applyBorder="1"/>
    <xf numFmtId="164" fontId="3" fillId="0" borderId="47" xfId="0" applyNumberFormat="1" applyFont="1" applyBorder="1"/>
    <xf numFmtId="167" fontId="8" fillId="0" borderId="32" xfId="0" applyNumberFormat="1" applyFont="1" applyBorder="1"/>
    <xf numFmtId="4" fontId="3" fillId="0" borderId="47" xfId="0" applyNumberFormat="1" applyFont="1" applyBorder="1"/>
    <xf numFmtId="9" fontId="3" fillId="0" borderId="53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4" fontId="6" fillId="17" borderId="8" xfId="0" applyNumberFormat="1" applyFont="1" applyFill="1" applyBorder="1" applyAlignment="1">
      <alignment horizontal="center"/>
    </xf>
    <xf numFmtId="0" fontId="2" fillId="0" borderId="9" xfId="0" applyFont="1" applyBorder="1"/>
    <xf numFmtId="44" fontId="3" fillId="19" borderId="8" xfId="0" applyNumberFormat="1" applyFont="1" applyFill="1" applyBorder="1" applyAlignment="1">
      <alignment horizontal="center"/>
    </xf>
    <xf numFmtId="44" fontId="6" fillId="0" borderId="0" xfId="0" applyNumberFormat="1" applyFont="1" applyAlignment="1">
      <alignment horizontal="center"/>
    </xf>
    <xf numFmtId="0" fontId="0" fillId="0" borderId="0" xfId="0" applyFont="1" applyAlignment="1"/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2" fillId="25" borderId="18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3" fillId="30" borderId="26" xfId="0" applyFont="1" applyFill="1" applyBorder="1" applyAlignment="1">
      <alignment horizontal="center"/>
    </xf>
    <xf numFmtId="0" fontId="2" fillId="0" borderId="27" xfId="0" applyFont="1" applyBorder="1"/>
    <xf numFmtId="0" fontId="2" fillId="0" borderId="28" xfId="0" applyFont="1" applyBorder="1"/>
    <xf numFmtId="0" fontId="3" fillId="6" borderId="8" xfId="0" applyFont="1" applyFill="1" applyBorder="1" applyAlignment="1">
      <alignment horizontal="left"/>
    </xf>
    <xf numFmtId="0" fontId="2" fillId="0" borderId="45" xfId="0" applyFont="1" applyBorder="1"/>
    <xf numFmtId="0" fontId="3" fillId="2" borderId="8" xfId="0" applyFont="1" applyFill="1" applyBorder="1" applyAlignment="1">
      <alignment horizontal="left"/>
    </xf>
    <xf numFmtId="0" fontId="3" fillId="31" borderId="55" xfId="0" applyFont="1" applyFill="1" applyBorder="1" applyAlignment="1">
      <alignment horizontal="center"/>
    </xf>
    <xf numFmtId="0" fontId="2" fillId="0" borderId="56" xfId="0" applyFont="1" applyBorder="1"/>
    <xf numFmtId="0" fontId="2" fillId="0" borderId="57" xfId="0" applyFont="1" applyBorder="1"/>
    <xf numFmtId="17" fontId="3" fillId="2" borderId="8" xfId="0" applyNumberFormat="1" applyFont="1" applyFill="1" applyBorder="1" applyAlignment="1">
      <alignment horizontal="center" vertical="center"/>
    </xf>
    <xf numFmtId="0" fontId="2" fillId="0" borderId="46" xfId="0" applyFont="1" applyBorder="1"/>
    <xf numFmtId="44" fontId="8" fillId="0" borderId="8" xfId="0" applyNumberFormat="1" applyFont="1" applyBorder="1"/>
    <xf numFmtId="0" fontId="3" fillId="0" borderId="8" xfId="0" applyFont="1" applyBorder="1" applyAlignment="1">
      <alignment horizontal="center"/>
    </xf>
    <xf numFmtId="0" fontId="16" fillId="31" borderId="41" xfId="0" applyFont="1" applyFill="1" applyBorder="1" applyAlignment="1">
      <alignment horizontal="center"/>
    </xf>
    <xf numFmtId="0" fontId="2" fillId="0" borderId="42" xfId="0" applyFont="1" applyBorder="1"/>
    <xf numFmtId="0" fontId="2" fillId="0" borderId="43" xfId="0" applyFont="1" applyBorder="1"/>
    <xf numFmtId="168" fontId="8" fillId="2" borderId="8" xfId="0" applyNumberFormat="1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24" borderId="8" xfId="0" applyFont="1" applyFill="1" applyBorder="1" applyAlignment="1">
      <alignment horizontal="center"/>
    </xf>
    <xf numFmtId="0" fontId="16" fillId="31" borderId="55" xfId="0" applyFont="1" applyFill="1" applyBorder="1" applyAlignment="1">
      <alignment horizontal="center"/>
    </xf>
    <xf numFmtId="168" fontId="3" fillId="2" borderId="8" xfId="0" applyNumberFormat="1" applyFont="1" applyFill="1" applyBorder="1" applyAlignment="1">
      <alignment horizontal="center"/>
    </xf>
    <xf numFmtId="168" fontId="3" fillId="2" borderId="8" xfId="0" applyNumberFormat="1" applyFont="1" applyFill="1" applyBorder="1" applyAlignment="1">
      <alignment horizontal="center" vertical="center"/>
    </xf>
    <xf numFmtId="0" fontId="6" fillId="25" borderId="51" xfId="0" applyFont="1" applyFill="1" applyBorder="1"/>
    <xf numFmtId="0" fontId="2" fillId="0" borderId="62" xfId="0" applyFont="1" applyBorder="1"/>
  </cellXfs>
  <cellStyles count="1">
    <cellStyle name="Normal" xfId="0" builtinId="0"/>
  </cellStyles>
  <dxfs count="69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</dxfs>
  <tableStyles count="4">
    <tableStyle name="Liquor-style" pivot="0" count="4" xr9:uid="{00000000-0011-0000-FFFF-FFFF00000000}">
      <tableStyleElement type="headerRow" dxfId="68"/>
      <tableStyleElement type="totalRow" dxfId="65"/>
      <tableStyleElement type="firstRowStripe" dxfId="67"/>
      <tableStyleElement type="secondRowStripe" dxfId="66"/>
    </tableStyle>
    <tableStyle name="Wine-style" pivot="0" count="3" xr9:uid="{00000000-0011-0000-FFFF-FFFF01000000}">
      <tableStyleElement type="headerRow" dxfId="64"/>
      <tableStyleElement type="firstRowStripe" dxfId="63"/>
      <tableStyleElement type="secondRowStripe" dxfId="62"/>
    </tableStyle>
    <tableStyle name="Owners Collection-style" pivot="0" count="4" xr9:uid="{00000000-0011-0000-FFFF-FFFF02000000}">
      <tableStyleElement type="headerRow" dxfId="61"/>
      <tableStyleElement type="totalRow" dxfId="58"/>
      <tableStyleElement type="firstRowStripe" dxfId="60"/>
      <tableStyleElement type="secondRowStripe" dxfId="59"/>
    </tableStyle>
    <tableStyle name="Beer-style" pivot="0" count="3" xr9:uid="{00000000-0011-0000-FFFF-FFFF03000000}">
      <tableStyleElement type="headerRow" dxfId="57"/>
      <tableStyleElement type="firstRowStripe" dxfId="56"/>
      <tableStyleElement type="secondRowStripe" dxfId="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180975</xdr:colOff>
      <xdr:row>1</xdr:row>
      <xdr:rowOff>66675</xdr:rowOff>
    </xdr:from>
    <xdr:ext cx="231457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Z401" headerRowCount="0" totalsRowCount="1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 totalsRowFunction="custom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Liquo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R51" headerRowCount="0">
  <tableColumns count="1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</tableColumns>
  <tableStyleInfo name="Win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O9" headerRowCount="0" totalsRowCount="1">
  <tableColumns count="1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 totalsRowFunction="custom"/>
    <tableColumn id="9" xr3:uid="{00000000-0010-0000-0200-000009000000}" name="Column9"/>
    <tableColumn id="10" xr3:uid="{00000000-0010-0000-0200-00000A000000}" name="Column10" totalsRowFunction="custom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 totalsRowFunction="custom"/>
    <tableColumn id="15" xr3:uid="{00000000-0010-0000-0200-00000F000000}" name="Column15"/>
  </tableColumns>
  <tableStyleInfo name="Owners Collec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:N35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Bee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5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10.0859375" customWidth="1"/>
    <col min="2" max="2" width="11.43359375" customWidth="1"/>
    <col min="3" max="3" width="41.296875" customWidth="1"/>
    <col min="4" max="4" width="11.02734375" customWidth="1"/>
    <col min="5" max="5" width="12.375" customWidth="1"/>
    <col min="6" max="6" width="11.97265625" customWidth="1"/>
    <col min="7" max="7" width="10.625" customWidth="1"/>
    <col min="8" max="8" width="12.5078125" customWidth="1"/>
    <col min="9" max="9" width="9.81640625" customWidth="1"/>
    <col min="10" max="10" width="17.3515625" customWidth="1"/>
    <col min="11" max="11" width="15.33203125" customWidth="1"/>
    <col min="12" max="12" width="16.41015625" customWidth="1"/>
    <col min="13" max="13" width="15.46875" customWidth="1"/>
    <col min="14" max="14" width="17.890625" customWidth="1"/>
    <col min="15" max="15" width="8.875" customWidth="1"/>
  </cols>
  <sheetData>
    <row r="1" spans="1:26" ht="36.75" x14ac:dyDescent="0.5">
      <c r="A1" s="345"/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7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7" t="s">
        <v>14</v>
      </c>
      <c r="B3" s="4">
        <v>4</v>
      </c>
      <c r="C3" s="8" t="s">
        <v>15</v>
      </c>
      <c r="D3" s="8" t="s">
        <v>16</v>
      </c>
      <c r="E3" s="9">
        <v>13.13</v>
      </c>
      <c r="F3" s="5">
        <f>E3/$B9</f>
        <v>0.82062500000000005</v>
      </c>
      <c r="G3" s="5">
        <f>Liquor!$F3*1.5</f>
        <v>1.2309375</v>
      </c>
      <c r="H3" s="5">
        <v>8</v>
      </c>
      <c r="I3" s="6">
        <f>Liquor!$G3/Liquor!$H3</f>
        <v>0.1538671875</v>
      </c>
      <c r="J3" s="10"/>
      <c r="K3" s="3"/>
      <c r="L3" s="3"/>
      <c r="M3" s="3">
        <f>SUM(Liquor!$J3:$L3)</f>
        <v>0</v>
      </c>
      <c r="N3" s="9">
        <f t="shared" ref="N3:N47" si="0">$M3*$E3</f>
        <v>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2" t="s">
        <v>14</v>
      </c>
      <c r="B4" s="13">
        <v>4</v>
      </c>
      <c r="C4" s="14" t="s">
        <v>17</v>
      </c>
      <c r="D4" s="14" t="s">
        <v>16</v>
      </c>
      <c r="E4" s="9">
        <v>8.0399999999999991</v>
      </c>
      <c r="F4" s="15">
        <f>E4/$B9</f>
        <v>0.50249999999999995</v>
      </c>
      <c r="G4" s="15">
        <f>Liquor!$F4*1.5</f>
        <v>0.75374999999999992</v>
      </c>
      <c r="H4" s="15">
        <v>5</v>
      </c>
      <c r="I4" s="16">
        <f>Liquor!$G4/Liquor!$H4</f>
        <v>0.15075</v>
      </c>
      <c r="J4" s="17"/>
      <c r="K4" s="18"/>
      <c r="L4" s="18"/>
      <c r="M4" s="18">
        <f>SUM(Liquor!$J4:$L4)</f>
        <v>0</v>
      </c>
      <c r="N4" s="9">
        <f t="shared" si="0"/>
        <v>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">
      <c r="A5" s="12" t="s">
        <v>14</v>
      </c>
      <c r="B5" s="13">
        <v>6.7</v>
      </c>
      <c r="C5" s="14" t="s">
        <v>17</v>
      </c>
      <c r="D5" s="14" t="s">
        <v>16</v>
      </c>
      <c r="E5" s="9">
        <v>16.989999999999998</v>
      </c>
      <c r="F5" s="15">
        <f t="shared" ref="F5:F6" si="1">E5/$B9</f>
        <v>1.0618749999999999</v>
      </c>
      <c r="G5" s="15">
        <f>Liquor!$F5*1.5</f>
        <v>1.5928125</v>
      </c>
      <c r="H5" s="15">
        <v>15</v>
      </c>
      <c r="I5" s="16">
        <f>Liquor!$G5/Liquor!$H5</f>
        <v>0.1061875</v>
      </c>
      <c r="J5" s="19"/>
      <c r="K5" s="18"/>
      <c r="L5" s="18"/>
      <c r="M5" s="18">
        <f>SUM(Liquor!$J5:$L5)</f>
        <v>0</v>
      </c>
      <c r="N5" s="9">
        <f t="shared" si="0"/>
        <v>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7" t="s">
        <v>14</v>
      </c>
      <c r="B6" s="4">
        <v>5</v>
      </c>
      <c r="C6" s="8" t="s">
        <v>18</v>
      </c>
      <c r="D6" s="8" t="s">
        <v>16</v>
      </c>
      <c r="E6" s="9">
        <v>9.43</v>
      </c>
      <c r="F6" s="5">
        <f t="shared" si="1"/>
        <v>1.8859999999999999</v>
      </c>
      <c r="G6" s="5">
        <f>Liquor!$F6*1.5</f>
        <v>2.8289999999999997</v>
      </c>
      <c r="H6" s="5">
        <v>18</v>
      </c>
      <c r="I6" s="6">
        <f>Liquor!$G6/Liquor!$H6</f>
        <v>0.15716666666666665</v>
      </c>
      <c r="J6" s="20"/>
      <c r="K6" s="3"/>
      <c r="L6" s="3"/>
      <c r="M6" s="3">
        <f>SUM(Liquor!$J6:$L6)</f>
        <v>0</v>
      </c>
      <c r="N6" s="9">
        <f t="shared" si="0"/>
        <v>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2" t="s">
        <v>14</v>
      </c>
      <c r="B7" s="13">
        <v>5</v>
      </c>
      <c r="C7" s="14" t="s">
        <v>19</v>
      </c>
      <c r="D7" s="14" t="s">
        <v>16</v>
      </c>
      <c r="E7" s="9">
        <v>19.89</v>
      </c>
      <c r="F7" s="15">
        <f t="shared" ref="F7:F8" si="2">E7/$B10</f>
        <v>3.9780000000000002</v>
      </c>
      <c r="G7" s="15">
        <f>Liquor!$F7*1.5</f>
        <v>5.9670000000000005</v>
      </c>
      <c r="H7" s="15">
        <v>38</v>
      </c>
      <c r="I7" s="21">
        <f>Liquor!$G7/Liquor!$H7</f>
        <v>0.15702631578947371</v>
      </c>
      <c r="J7" s="17"/>
      <c r="K7" s="22"/>
      <c r="L7" s="18"/>
      <c r="M7" s="18">
        <f>SUM(Liquor!$J7:$L7)</f>
        <v>0</v>
      </c>
      <c r="N7" s="9">
        <f t="shared" si="0"/>
        <v>0</v>
      </c>
      <c r="O7" s="12"/>
      <c r="P7" s="12"/>
      <c r="Q7" s="23"/>
      <c r="R7" s="18"/>
      <c r="S7" s="12"/>
      <c r="T7" s="12"/>
      <c r="U7" s="12"/>
      <c r="V7" s="12"/>
      <c r="W7" s="12"/>
      <c r="X7" s="12"/>
      <c r="Y7" s="12"/>
      <c r="Z7" s="12"/>
    </row>
    <row r="8" spans="1:26" x14ac:dyDescent="0.2">
      <c r="A8" s="12" t="s">
        <v>14</v>
      </c>
      <c r="B8" s="13">
        <v>5</v>
      </c>
      <c r="C8" s="14" t="s">
        <v>20</v>
      </c>
      <c r="D8" s="14" t="s">
        <v>16</v>
      </c>
      <c r="E8" s="9">
        <v>9.43</v>
      </c>
      <c r="F8" s="15">
        <f t="shared" si="2"/>
        <v>1.8859999999999999</v>
      </c>
      <c r="G8" s="15">
        <f>Liquor!$F8*1.5</f>
        <v>2.8289999999999997</v>
      </c>
      <c r="H8" s="15">
        <v>18</v>
      </c>
      <c r="I8" s="21">
        <f>Liquor!$G8/Liquor!$H8</f>
        <v>0.15716666666666665</v>
      </c>
      <c r="J8" s="17"/>
      <c r="K8" s="22"/>
      <c r="L8" s="18"/>
      <c r="M8" s="18">
        <f>SUM(Liquor!$J8:$L8)</f>
        <v>0</v>
      </c>
      <c r="N8" s="9">
        <f t="shared" si="0"/>
        <v>0</v>
      </c>
      <c r="O8" s="12"/>
      <c r="P8" s="12"/>
      <c r="Q8" s="23"/>
      <c r="R8" s="18"/>
      <c r="S8" s="12"/>
      <c r="T8" s="12"/>
      <c r="U8" s="12"/>
      <c r="V8" s="12"/>
      <c r="W8" s="12"/>
      <c r="X8" s="12"/>
      <c r="Y8" s="12"/>
      <c r="Z8" s="12"/>
    </row>
    <row r="9" spans="1:26" x14ac:dyDescent="0.2">
      <c r="A9" s="24" t="s">
        <v>14</v>
      </c>
      <c r="B9" s="4">
        <v>16</v>
      </c>
      <c r="C9" s="25" t="s">
        <v>15</v>
      </c>
      <c r="D9" s="26" t="s">
        <v>16</v>
      </c>
      <c r="E9" s="9">
        <v>27.6</v>
      </c>
      <c r="F9" s="9">
        <f t="shared" ref="F9:F48" si="3">$E9/$B9</f>
        <v>1.7250000000000001</v>
      </c>
      <c r="G9" s="9">
        <f>Liquor!$F9*1.5</f>
        <v>2.5875000000000004</v>
      </c>
      <c r="H9" s="9">
        <v>18</v>
      </c>
      <c r="I9" s="27">
        <f>Liquor!$G9/Liquor!$H9</f>
        <v>0.14375000000000002</v>
      </c>
      <c r="J9" s="17"/>
      <c r="K9" s="28"/>
      <c r="L9" s="3"/>
      <c r="M9" s="4">
        <f>SUM(Liquor!$J9:$L9)+$K409</f>
        <v>0</v>
      </c>
      <c r="N9" s="9">
        <f t="shared" si="0"/>
        <v>0</v>
      </c>
      <c r="O9" s="24"/>
      <c r="P9" s="24"/>
      <c r="Q9" s="29"/>
      <c r="R9" s="3"/>
      <c r="S9" s="24"/>
      <c r="T9" s="24"/>
      <c r="U9" s="24"/>
      <c r="V9" s="24"/>
      <c r="W9" s="24"/>
      <c r="X9" s="24"/>
      <c r="Y9" s="24"/>
      <c r="Z9" s="24"/>
    </row>
    <row r="10" spans="1:26" x14ac:dyDescent="0.2">
      <c r="A10" s="24" t="s">
        <v>14</v>
      </c>
      <c r="B10" s="4">
        <v>5</v>
      </c>
      <c r="C10" s="25" t="s">
        <v>21</v>
      </c>
      <c r="D10" s="25" t="s">
        <v>16</v>
      </c>
      <c r="E10" s="9">
        <v>17.7</v>
      </c>
      <c r="F10" s="9">
        <f t="shared" si="3"/>
        <v>3.54</v>
      </c>
      <c r="G10" s="9">
        <f>Liquor!$F10*1.5</f>
        <v>5.3100000000000005</v>
      </c>
      <c r="H10" s="9">
        <v>32</v>
      </c>
      <c r="I10" s="27">
        <f>Liquor!$G10/Liquor!$H10</f>
        <v>0.16593750000000002</v>
      </c>
      <c r="J10" s="17"/>
      <c r="K10" s="28"/>
      <c r="L10" s="3"/>
      <c r="M10" s="3">
        <v>0</v>
      </c>
      <c r="N10" s="9">
        <f t="shared" si="0"/>
        <v>0</v>
      </c>
      <c r="O10" s="24"/>
      <c r="P10" s="24"/>
      <c r="Q10" s="29"/>
      <c r="R10" s="3"/>
      <c r="S10" s="24"/>
      <c r="T10" s="24"/>
      <c r="U10" s="24"/>
      <c r="V10" s="24"/>
      <c r="W10" s="24"/>
      <c r="X10" s="24"/>
      <c r="Y10" s="24"/>
      <c r="Z10" s="24"/>
    </row>
    <row r="11" spans="1:26" x14ac:dyDescent="0.2">
      <c r="A11" s="24" t="s">
        <v>14</v>
      </c>
      <c r="B11" s="4">
        <v>5</v>
      </c>
      <c r="C11" s="25" t="s">
        <v>22</v>
      </c>
      <c r="D11" s="25" t="s">
        <v>16</v>
      </c>
      <c r="E11" s="9">
        <v>17.25</v>
      </c>
      <c r="F11" s="9">
        <f t="shared" si="3"/>
        <v>3.45</v>
      </c>
      <c r="G11" s="9">
        <f>Liquor!$F11*1.5</f>
        <v>5.1750000000000007</v>
      </c>
      <c r="H11" s="9">
        <v>32</v>
      </c>
      <c r="I11" s="27">
        <f>Liquor!$G11/Liquor!$H11</f>
        <v>0.16171875000000002</v>
      </c>
      <c r="J11" s="17"/>
      <c r="K11" s="28"/>
      <c r="L11" s="3"/>
      <c r="M11" s="3">
        <f>SUM(Liquor!$J11:$L11)</f>
        <v>0</v>
      </c>
      <c r="N11" s="9">
        <f t="shared" si="0"/>
        <v>0</v>
      </c>
      <c r="O11" s="24"/>
      <c r="P11" s="24"/>
      <c r="Q11" s="29"/>
      <c r="R11" s="3"/>
      <c r="S11" s="24"/>
      <c r="T11" s="24"/>
      <c r="U11" s="24"/>
      <c r="V11" s="24"/>
      <c r="W11" s="24"/>
      <c r="X11" s="24"/>
      <c r="Y11" s="24"/>
      <c r="Z11" s="24"/>
    </row>
    <row r="12" spans="1:26" x14ac:dyDescent="0.2">
      <c r="A12" s="24" t="s">
        <v>14</v>
      </c>
      <c r="B12" s="4">
        <v>5</v>
      </c>
      <c r="C12" s="25" t="s">
        <v>23</v>
      </c>
      <c r="D12" s="25" t="s">
        <v>16</v>
      </c>
      <c r="E12" s="9">
        <v>5.4</v>
      </c>
      <c r="F12" s="9">
        <f t="shared" si="3"/>
        <v>1.08</v>
      </c>
      <c r="G12" s="9">
        <f>Liquor!$F12*1.5</f>
        <v>1.62</v>
      </c>
      <c r="H12" s="9">
        <v>15</v>
      </c>
      <c r="I12" s="27">
        <f>Liquor!$G12/Liquor!$H12</f>
        <v>0.10800000000000001</v>
      </c>
      <c r="J12" s="17"/>
      <c r="K12" s="28"/>
      <c r="L12" s="3"/>
      <c r="M12" s="3">
        <f>SUM(Liquor!$J12:$L12)</f>
        <v>0</v>
      </c>
      <c r="N12" s="9">
        <f t="shared" si="0"/>
        <v>0</v>
      </c>
      <c r="O12" s="24"/>
      <c r="P12" s="24"/>
      <c r="Q12" s="29"/>
      <c r="R12" s="3"/>
      <c r="S12" s="24"/>
      <c r="T12" s="24"/>
      <c r="U12" s="24"/>
      <c r="V12" s="24"/>
      <c r="W12" s="24"/>
      <c r="X12" s="24"/>
      <c r="Y12" s="24"/>
      <c r="Z12" s="24"/>
    </row>
    <row r="13" spans="1:26" x14ac:dyDescent="0.2">
      <c r="A13" s="24" t="s">
        <v>14</v>
      </c>
      <c r="B13" s="4">
        <v>5</v>
      </c>
      <c r="C13" s="25" t="s">
        <v>24</v>
      </c>
      <c r="D13" s="25" t="s">
        <v>16</v>
      </c>
      <c r="E13" s="9">
        <v>8.6999999999999993</v>
      </c>
      <c r="F13" s="9">
        <f t="shared" si="3"/>
        <v>1.7399999999999998</v>
      </c>
      <c r="G13" s="9">
        <f>Liquor!$F13*1.5</f>
        <v>2.6099999999999994</v>
      </c>
      <c r="H13" s="9">
        <v>15</v>
      </c>
      <c r="I13" s="27">
        <f>Liquor!$G13/Liquor!$H13</f>
        <v>0.17399999999999996</v>
      </c>
      <c r="J13" s="17"/>
      <c r="K13" s="28"/>
      <c r="L13" s="3"/>
      <c r="M13" s="30">
        <f>SUM(Liquor!$J13:$L13)+$K405</f>
        <v>0</v>
      </c>
      <c r="N13" s="9">
        <f t="shared" si="0"/>
        <v>0</v>
      </c>
      <c r="O13" s="24"/>
      <c r="P13" s="24"/>
      <c r="Q13" s="29"/>
      <c r="R13" s="3"/>
      <c r="S13" s="24"/>
      <c r="T13" s="24"/>
      <c r="U13" s="24"/>
      <c r="V13" s="24"/>
      <c r="W13" s="24"/>
      <c r="X13" s="24"/>
      <c r="Y13" s="24"/>
      <c r="Z13" s="24"/>
    </row>
    <row r="14" spans="1:26" x14ac:dyDescent="0.2">
      <c r="A14" s="24" t="s">
        <v>14</v>
      </c>
      <c r="B14" s="4">
        <v>5</v>
      </c>
      <c r="C14" s="31" t="s">
        <v>25</v>
      </c>
      <c r="D14" s="25" t="s">
        <v>16</v>
      </c>
      <c r="E14" s="9">
        <v>9.43</v>
      </c>
      <c r="F14" s="9">
        <f t="shared" si="3"/>
        <v>1.8859999999999999</v>
      </c>
      <c r="G14" s="9">
        <f>Liquor!$F14*1.5</f>
        <v>2.8289999999999997</v>
      </c>
      <c r="H14" s="9">
        <v>15</v>
      </c>
      <c r="I14" s="27">
        <f>Liquor!$G14/Liquor!$H14</f>
        <v>0.18859999999999999</v>
      </c>
      <c r="J14" s="19"/>
      <c r="K14" s="28"/>
      <c r="L14" s="3"/>
      <c r="M14" s="3">
        <f>SUM(Liquor!$J14:$L14)</f>
        <v>0</v>
      </c>
      <c r="N14" s="9">
        <f t="shared" si="0"/>
        <v>0</v>
      </c>
      <c r="O14" s="24"/>
      <c r="P14" s="24"/>
      <c r="Q14" s="29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">
      <c r="A15" s="24" t="s">
        <v>14</v>
      </c>
      <c r="B15" s="4">
        <v>5</v>
      </c>
      <c r="C15" s="25" t="s">
        <v>26</v>
      </c>
      <c r="D15" s="25" t="s">
        <v>16</v>
      </c>
      <c r="E15" s="9">
        <v>9.43</v>
      </c>
      <c r="F15" s="9">
        <f t="shared" si="3"/>
        <v>1.8859999999999999</v>
      </c>
      <c r="G15" s="9">
        <f>Liquor!$F15*1.5</f>
        <v>2.8289999999999997</v>
      </c>
      <c r="H15" s="9">
        <v>25</v>
      </c>
      <c r="I15" s="27">
        <f>Liquor!$G15/Liquor!$H15</f>
        <v>0.11315999999999998</v>
      </c>
      <c r="J15" s="17"/>
      <c r="K15" s="28"/>
      <c r="L15" s="3"/>
      <c r="M15" s="3">
        <f>SUM(Liquor!$J15:$L15)</f>
        <v>0</v>
      </c>
      <c r="N15" s="9">
        <f t="shared" si="0"/>
        <v>0</v>
      </c>
      <c r="O15" s="24"/>
      <c r="P15" s="24"/>
      <c r="Q15" s="29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">
      <c r="A16" s="24" t="s">
        <v>14</v>
      </c>
      <c r="B16" s="4">
        <v>5</v>
      </c>
      <c r="C16" s="25" t="s">
        <v>27</v>
      </c>
      <c r="D16" s="25" t="s">
        <v>16</v>
      </c>
      <c r="E16" s="9">
        <v>8.84</v>
      </c>
      <c r="F16" s="9">
        <f t="shared" si="3"/>
        <v>1.768</v>
      </c>
      <c r="G16" s="9">
        <f>Liquor!$F16*1.5</f>
        <v>2.6520000000000001</v>
      </c>
      <c r="H16" s="9">
        <v>25</v>
      </c>
      <c r="I16" s="27">
        <f>Liquor!$G16/Liquor!$H16</f>
        <v>0.10608000000000001</v>
      </c>
      <c r="J16" s="19"/>
      <c r="K16" s="28"/>
      <c r="L16" s="3"/>
      <c r="M16" s="4">
        <f>SUM(Liquor!$J16:$L16)+$K447</f>
        <v>0</v>
      </c>
      <c r="N16" s="9">
        <f t="shared" si="0"/>
        <v>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">
      <c r="A17" s="24" t="s">
        <v>14</v>
      </c>
      <c r="B17" s="4">
        <v>5</v>
      </c>
      <c r="C17" s="25" t="s">
        <v>28</v>
      </c>
      <c r="D17" s="25" t="s">
        <v>16</v>
      </c>
      <c r="E17" s="9">
        <v>8.6999999999999993</v>
      </c>
      <c r="F17" s="9">
        <f t="shared" si="3"/>
        <v>1.7399999999999998</v>
      </c>
      <c r="G17" s="9">
        <f>Liquor!$F17*1.5</f>
        <v>2.6099999999999994</v>
      </c>
      <c r="H17" s="9">
        <v>25</v>
      </c>
      <c r="I17" s="27">
        <f>Liquor!$G17/Liquor!$H17</f>
        <v>0.10439999999999998</v>
      </c>
      <c r="J17" s="17"/>
      <c r="K17" s="28"/>
      <c r="L17" s="3"/>
      <c r="M17" s="3">
        <f>SUM(Liquor!$J17:$L17)</f>
        <v>0</v>
      </c>
      <c r="N17" s="9">
        <f t="shared" si="0"/>
        <v>0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">
      <c r="A18" s="24" t="s">
        <v>14</v>
      </c>
      <c r="B18" s="4">
        <v>3.38</v>
      </c>
      <c r="C18" s="25" t="s">
        <v>29</v>
      </c>
      <c r="D18" s="25" t="s">
        <v>16</v>
      </c>
      <c r="E18" s="9">
        <v>9.69</v>
      </c>
      <c r="F18" s="9">
        <f t="shared" si="3"/>
        <v>2.8668639053254439</v>
      </c>
      <c r="G18" s="9">
        <f>Liquor!$F18*1.5</f>
        <v>4.300295857988166</v>
      </c>
      <c r="H18" s="9">
        <v>25</v>
      </c>
      <c r="I18" s="27">
        <f>Liquor!$G18/Liquor!$H18</f>
        <v>0.17201183431952663</v>
      </c>
      <c r="J18" s="17"/>
      <c r="K18" s="28"/>
      <c r="L18" s="3"/>
      <c r="M18" s="4">
        <f>SUM(Liquor!$J18:$L18)</f>
        <v>0</v>
      </c>
      <c r="N18" s="9">
        <f t="shared" si="0"/>
        <v>0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">
      <c r="A19" s="24" t="s">
        <v>14</v>
      </c>
      <c r="B19" s="4">
        <v>5</v>
      </c>
      <c r="C19" s="25" t="s">
        <v>30</v>
      </c>
      <c r="D19" s="25" t="s">
        <v>16</v>
      </c>
      <c r="E19" s="9">
        <v>19.89</v>
      </c>
      <c r="F19" s="9">
        <f t="shared" si="3"/>
        <v>3.9780000000000002</v>
      </c>
      <c r="G19" s="9">
        <f>Liquor!$F19*1.5</f>
        <v>5.9670000000000005</v>
      </c>
      <c r="H19" s="9">
        <v>35</v>
      </c>
      <c r="I19" s="27">
        <f>Liquor!$G19/Liquor!$H19</f>
        <v>0.1704857142857143</v>
      </c>
      <c r="J19" s="17"/>
      <c r="K19" s="28"/>
      <c r="L19" s="3"/>
      <c r="M19" s="4">
        <f>SUM(Liquor!$J19:$L19)</f>
        <v>0</v>
      </c>
      <c r="N19" s="9">
        <f t="shared" si="0"/>
        <v>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">
      <c r="A20" s="24" t="s">
        <v>14</v>
      </c>
      <c r="B20" s="4">
        <v>5</v>
      </c>
      <c r="C20" s="25" t="s">
        <v>31</v>
      </c>
      <c r="D20" s="25" t="s">
        <v>16</v>
      </c>
      <c r="E20" s="9">
        <v>20.51</v>
      </c>
      <c r="F20" s="9">
        <f t="shared" si="3"/>
        <v>4.1020000000000003</v>
      </c>
      <c r="G20" s="9">
        <f>Liquor!$F20*1.5</f>
        <v>6.1530000000000005</v>
      </c>
      <c r="H20" s="9">
        <v>40</v>
      </c>
      <c r="I20" s="27">
        <f>Liquor!$G20/Liquor!$H20</f>
        <v>0.15382500000000002</v>
      </c>
      <c r="J20" s="17"/>
      <c r="K20" s="28"/>
      <c r="L20" s="3"/>
      <c r="M20" s="4">
        <f>SUM(Liquor!$J20:$L20)</f>
        <v>0</v>
      </c>
      <c r="N20" s="9">
        <f t="shared" si="0"/>
        <v>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2">
      <c r="A21" s="24" t="s">
        <v>14</v>
      </c>
      <c r="B21" s="4">
        <v>5</v>
      </c>
      <c r="C21" s="25" t="s">
        <v>32</v>
      </c>
      <c r="D21" s="25" t="s">
        <v>16</v>
      </c>
      <c r="E21" s="9">
        <v>16.420000000000002</v>
      </c>
      <c r="F21" s="9">
        <f t="shared" si="3"/>
        <v>3.2840000000000003</v>
      </c>
      <c r="G21" s="9">
        <f>Liquor!$F21*1.5</f>
        <v>4.9260000000000002</v>
      </c>
      <c r="H21" s="9">
        <v>35</v>
      </c>
      <c r="I21" s="6">
        <f>Liquor!$G21/Liquor!$H21</f>
        <v>0.14074285714285714</v>
      </c>
      <c r="J21" s="32"/>
      <c r="K21" s="3"/>
      <c r="L21" s="3"/>
      <c r="M21" s="3">
        <f>SUM(Liquor!$J21:$L21)</f>
        <v>0</v>
      </c>
      <c r="N21" s="9">
        <f t="shared" si="0"/>
        <v>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 x14ac:dyDescent="0.2">
      <c r="A22" s="24" t="s">
        <v>33</v>
      </c>
      <c r="B22" s="4">
        <v>32</v>
      </c>
      <c r="C22" s="25" t="s">
        <v>34</v>
      </c>
      <c r="D22" s="25" t="s">
        <v>35</v>
      </c>
      <c r="E22" s="9">
        <v>5.0999999999999996</v>
      </c>
      <c r="F22" s="9">
        <f t="shared" si="3"/>
        <v>0.15937499999999999</v>
      </c>
      <c r="G22" s="9">
        <f>Liquor!$F22*1.5</f>
        <v>0.23906249999999998</v>
      </c>
      <c r="H22" s="9">
        <v>4</v>
      </c>
      <c r="I22" s="6">
        <f>Liquor!$G22/Liquor!$H22</f>
        <v>5.9765624999999996E-2</v>
      </c>
      <c r="J22" s="24"/>
      <c r="K22" s="3"/>
      <c r="L22" s="3"/>
      <c r="M22" s="3">
        <f>SUM(Liquor!$J22:$L22)</f>
        <v>0</v>
      </c>
      <c r="N22" s="9">
        <f t="shared" si="0"/>
        <v>0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 x14ac:dyDescent="0.2">
      <c r="A23" s="24" t="s">
        <v>33</v>
      </c>
      <c r="B23" s="4">
        <v>32</v>
      </c>
      <c r="C23" s="25" t="s">
        <v>36</v>
      </c>
      <c r="D23" s="25" t="s">
        <v>37</v>
      </c>
      <c r="E23" s="9">
        <v>5.0999999999999996</v>
      </c>
      <c r="F23" s="9">
        <f t="shared" si="3"/>
        <v>0.15937499999999999</v>
      </c>
      <c r="G23" s="9">
        <f>Liquor!$F23*1.5</f>
        <v>0.23906249999999998</v>
      </c>
      <c r="H23" s="9">
        <v>4</v>
      </c>
      <c r="I23" s="6">
        <f>Liquor!$G23/Liquor!$H23</f>
        <v>5.9765624999999996E-2</v>
      </c>
      <c r="J23" s="24"/>
      <c r="K23" s="3"/>
      <c r="L23" s="3"/>
      <c r="M23" s="3">
        <f>SUM(Liquor!$J23:$L23)</f>
        <v>0</v>
      </c>
      <c r="N23" s="9">
        <f t="shared" si="0"/>
        <v>0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 x14ac:dyDescent="0.2">
      <c r="A24" s="24" t="s">
        <v>38</v>
      </c>
      <c r="B24" s="4">
        <v>128</v>
      </c>
      <c r="C24" s="25" t="s">
        <v>39</v>
      </c>
      <c r="D24" s="25" t="s">
        <v>37</v>
      </c>
      <c r="E24" s="9">
        <v>15.3</v>
      </c>
      <c r="F24" s="9">
        <f t="shared" si="3"/>
        <v>0.11953125000000001</v>
      </c>
      <c r="G24" s="9">
        <f>Liquor!$F24*1.5</f>
        <v>0.17929687500000002</v>
      </c>
      <c r="H24" s="9">
        <v>4</v>
      </c>
      <c r="I24" s="6">
        <f>Liquor!$G24/Liquor!$H24</f>
        <v>4.4824218750000006E-2</v>
      </c>
      <c r="J24" s="24"/>
      <c r="K24" s="3"/>
      <c r="L24" s="3"/>
      <c r="M24" s="3">
        <f>SUM(Liquor!$J24:$L24)</f>
        <v>0</v>
      </c>
      <c r="N24" s="9">
        <f t="shared" si="0"/>
        <v>0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 x14ac:dyDescent="0.2">
      <c r="A25" s="24"/>
      <c r="B25" s="4">
        <v>16</v>
      </c>
      <c r="C25" s="25" t="s">
        <v>40</v>
      </c>
      <c r="D25" s="25" t="s">
        <v>37</v>
      </c>
      <c r="E25" s="9">
        <v>3.84</v>
      </c>
      <c r="F25" s="9">
        <f t="shared" si="3"/>
        <v>0.24</v>
      </c>
      <c r="G25" s="9">
        <f>Liquor!$F25*1.5</f>
        <v>0.36</v>
      </c>
      <c r="H25" s="9">
        <v>4</v>
      </c>
      <c r="I25" s="6">
        <f>Liquor!$G25/Liquor!$H25</f>
        <v>0.09</v>
      </c>
      <c r="J25" s="24"/>
      <c r="K25" s="3"/>
      <c r="L25" s="3"/>
      <c r="M25" s="3">
        <f>SUM(Liquor!$J25:$L25)</f>
        <v>0</v>
      </c>
      <c r="N25" s="9">
        <f t="shared" si="0"/>
        <v>0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 x14ac:dyDescent="0.2">
      <c r="A26" s="24"/>
      <c r="B26" s="4">
        <v>64</v>
      </c>
      <c r="C26" s="25" t="s">
        <v>41</v>
      </c>
      <c r="D26" s="25" t="s">
        <v>37</v>
      </c>
      <c r="E26" s="9">
        <v>3.53</v>
      </c>
      <c r="F26" s="9">
        <f t="shared" si="3"/>
        <v>5.5156249999999997E-2</v>
      </c>
      <c r="G26" s="9">
        <f>Liquor!$F26*1.5</f>
        <v>8.2734374999999999E-2</v>
      </c>
      <c r="H26" s="9">
        <v>4</v>
      </c>
      <c r="I26" s="6">
        <f>Liquor!$G26/Liquor!$H26</f>
        <v>2.068359375E-2</v>
      </c>
      <c r="J26" s="24"/>
      <c r="K26" s="3"/>
      <c r="L26" s="3"/>
      <c r="M26" s="3">
        <f>SUM(Liquor!$J26:$L26)</f>
        <v>0</v>
      </c>
      <c r="N26" s="9">
        <f t="shared" si="0"/>
        <v>0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 x14ac:dyDescent="0.2">
      <c r="A27" s="24"/>
      <c r="B27" s="4">
        <v>64</v>
      </c>
      <c r="C27" s="25" t="s">
        <v>42</v>
      </c>
      <c r="D27" s="25" t="s">
        <v>37</v>
      </c>
      <c r="E27" s="9">
        <v>3.45</v>
      </c>
      <c r="F27" s="9">
        <f t="shared" si="3"/>
        <v>5.3906250000000003E-2</v>
      </c>
      <c r="G27" s="9">
        <f>Liquor!$F27*1.5</f>
        <v>8.0859375000000011E-2</v>
      </c>
      <c r="H27" s="9">
        <v>4</v>
      </c>
      <c r="I27" s="6">
        <f>Liquor!$G27/Liquor!$H27</f>
        <v>2.0214843750000003E-2</v>
      </c>
      <c r="J27" s="24"/>
      <c r="K27" s="3"/>
      <c r="L27" s="3"/>
      <c r="M27" s="3">
        <f>SUM(Liquor!$J27:$L27)</f>
        <v>0</v>
      </c>
      <c r="N27" s="9">
        <f t="shared" si="0"/>
        <v>0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 x14ac:dyDescent="0.2">
      <c r="A28" s="24"/>
      <c r="B28" s="4">
        <v>16</v>
      </c>
      <c r="C28" s="33" t="s">
        <v>43</v>
      </c>
      <c r="D28" s="25" t="s">
        <v>37</v>
      </c>
      <c r="E28" s="9">
        <v>3.32</v>
      </c>
      <c r="F28" s="9">
        <f t="shared" si="3"/>
        <v>0.20749999999999999</v>
      </c>
      <c r="G28" s="9">
        <f>Liquor!$F28*1.5</f>
        <v>0.31124999999999997</v>
      </c>
      <c r="H28" s="9">
        <v>4</v>
      </c>
      <c r="I28" s="6">
        <f>Liquor!$G28/Liquor!$H28</f>
        <v>7.7812499999999993E-2</v>
      </c>
      <c r="J28" s="24"/>
      <c r="K28" s="3"/>
      <c r="L28" s="3"/>
      <c r="M28" s="3">
        <f>SUM(Liquor!$J28:$L28)</f>
        <v>0</v>
      </c>
      <c r="N28" s="9">
        <f t="shared" si="0"/>
        <v>0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 x14ac:dyDescent="0.2">
      <c r="A29" s="24" t="s">
        <v>44</v>
      </c>
      <c r="B29" s="4">
        <v>33.814</v>
      </c>
      <c r="C29" s="25" t="s">
        <v>45</v>
      </c>
      <c r="D29" s="25" t="s">
        <v>46</v>
      </c>
      <c r="E29" s="9">
        <v>2.82</v>
      </c>
      <c r="F29" s="9">
        <f t="shared" si="3"/>
        <v>8.3397409357071031E-2</v>
      </c>
      <c r="G29" s="9">
        <f>Liquor!$F29*1.5</f>
        <v>0.12509611403560655</v>
      </c>
      <c r="H29" s="9">
        <v>1</v>
      </c>
      <c r="I29" s="6">
        <f>Liquor!$G29/Liquor!$H29</f>
        <v>0.12509611403560655</v>
      </c>
      <c r="J29" s="24"/>
      <c r="K29" s="3"/>
      <c r="L29" s="3"/>
      <c r="M29" s="3">
        <f>SUM(Liquor!$J29:$L29)</f>
        <v>0</v>
      </c>
      <c r="N29" s="9">
        <f t="shared" si="0"/>
        <v>0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 x14ac:dyDescent="0.2">
      <c r="A30" s="34" t="s">
        <v>44</v>
      </c>
      <c r="B30" s="35">
        <v>33.814</v>
      </c>
      <c r="C30" s="14" t="s">
        <v>47</v>
      </c>
      <c r="D30" s="14" t="s">
        <v>48</v>
      </c>
      <c r="E30" s="36">
        <v>18.95</v>
      </c>
      <c r="F30" s="36">
        <f t="shared" si="3"/>
        <v>0.56041876145975034</v>
      </c>
      <c r="G30" s="36">
        <f>Liquor!$F30*1.5</f>
        <v>0.84062814218962556</v>
      </c>
      <c r="H30" s="37">
        <v>5</v>
      </c>
      <c r="I30" s="16">
        <f>Liquor!$G30/Liquor!$H30</f>
        <v>0.16812562843792511</v>
      </c>
      <c r="J30" s="10"/>
      <c r="K30" s="18"/>
      <c r="L30" s="18"/>
      <c r="M30" s="38">
        <f>SUM(Liquor!$J30:$L30)+$I414</f>
        <v>0</v>
      </c>
      <c r="N30" s="36">
        <f t="shared" si="0"/>
        <v>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">
      <c r="A31" s="24" t="s">
        <v>44</v>
      </c>
      <c r="B31" s="35">
        <v>33.814</v>
      </c>
      <c r="C31" s="25" t="s">
        <v>49</v>
      </c>
      <c r="D31" s="25" t="s">
        <v>50</v>
      </c>
      <c r="E31" s="9">
        <v>18.95</v>
      </c>
      <c r="F31" s="36">
        <f t="shared" si="3"/>
        <v>0.56041876145975034</v>
      </c>
      <c r="G31" s="36">
        <f>Liquor!$F31*1.5</f>
        <v>0.84062814218962556</v>
      </c>
      <c r="H31" s="9">
        <v>5</v>
      </c>
      <c r="I31" s="16">
        <f>Liquor!$G31/Liquor!$H31</f>
        <v>0.16812562843792511</v>
      </c>
      <c r="J31" s="24"/>
      <c r="K31" s="3"/>
      <c r="L31" s="3"/>
      <c r="M31" s="18">
        <f>SUM(Liquor!$J31:$L31)</f>
        <v>0</v>
      </c>
      <c r="N31" s="36">
        <f t="shared" si="0"/>
        <v>0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 x14ac:dyDescent="0.2">
      <c r="A32" s="24" t="s">
        <v>44</v>
      </c>
      <c r="B32" s="4">
        <v>33.814</v>
      </c>
      <c r="C32" s="25" t="s">
        <v>51</v>
      </c>
      <c r="D32" s="25" t="s">
        <v>50</v>
      </c>
      <c r="E32" s="9">
        <v>5.2</v>
      </c>
      <c r="F32" s="9">
        <f t="shared" si="3"/>
        <v>0.15378245697048559</v>
      </c>
      <c r="G32" s="9">
        <f>Liquor!$F32*1.5</f>
        <v>0.23067368545572839</v>
      </c>
      <c r="H32" s="9">
        <v>7</v>
      </c>
      <c r="I32" s="6">
        <f>Liquor!$G32/Liquor!$H32</f>
        <v>3.2953383636532628E-2</v>
      </c>
      <c r="J32" s="24"/>
      <c r="K32" s="3"/>
      <c r="L32" s="3"/>
      <c r="M32" s="3">
        <f>SUM(Liquor!$J32:$L32)</f>
        <v>0</v>
      </c>
      <c r="N32" s="9">
        <f t="shared" si="0"/>
        <v>0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x14ac:dyDescent="0.2">
      <c r="A33" s="24" t="s">
        <v>44</v>
      </c>
      <c r="B33" s="4">
        <v>33.814</v>
      </c>
      <c r="C33" s="25" t="s">
        <v>52</v>
      </c>
      <c r="D33" s="25" t="s">
        <v>53</v>
      </c>
      <c r="E33" s="9">
        <v>6.89</v>
      </c>
      <c r="F33" s="9">
        <f t="shared" si="3"/>
        <v>0.2037617554858934</v>
      </c>
      <c r="G33" s="9">
        <f>Liquor!$F33*1.5</f>
        <v>0.30564263322884011</v>
      </c>
      <c r="H33" s="9">
        <v>8</v>
      </c>
      <c r="I33" s="6">
        <f>Liquor!$G33/Liquor!$H33</f>
        <v>3.8205329153605014E-2</v>
      </c>
      <c r="J33" s="24"/>
      <c r="K33" s="3"/>
      <c r="L33" s="3"/>
      <c r="M33" s="3">
        <f>SUM(Liquor!$J33:$L33)</f>
        <v>0</v>
      </c>
      <c r="N33" s="9">
        <f t="shared" si="0"/>
        <v>0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">
      <c r="A34" s="24"/>
      <c r="B34" s="4">
        <v>8</v>
      </c>
      <c r="C34" s="25" t="s">
        <v>54</v>
      </c>
      <c r="D34" s="25" t="s">
        <v>53</v>
      </c>
      <c r="E34" s="9">
        <v>4.0999999999999996</v>
      </c>
      <c r="F34" s="36">
        <f t="shared" si="3"/>
        <v>0.51249999999999996</v>
      </c>
      <c r="G34" s="36">
        <f>Liquor!$F34*1.5</f>
        <v>0.76874999999999993</v>
      </c>
      <c r="H34" s="9">
        <v>2</v>
      </c>
      <c r="I34" s="16">
        <f>Liquor!$G34/Liquor!$H34</f>
        <v>0.38437499999999997</v>
      </c>
      <c r="J34" s="24"/>
      <c r="K34" s="3"/>
      <c r="L34" s="3"/>
      <c r="M34" s="18">
        <f>SUM(Liquor!$J34:$L34)</f>
        <v>0</v>
      </c>
      <c r="N34" s="36">
        <f t="shared" si="0"/>
        <v>0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2">
      <c r="A35" s="24" t="s">
        <v>55</v>
      </c>
      <c r="B35" s="4">
        <v>59.17</v>
      </c>
      <c r="C35" s="25" t="s">
        <v>56</v>
      </c>
      <c r="D35" s="25" t="s">
        <v>53</v>
      </c>
      <c r="E35" s="9">
        <v>9.9</v>
      </c>
      <c r="F35" s="9">
        <f t="shared" si="3"/>
        <v>0.16731451749197229</v>
      </c>
      <c r="G35" s="9">
        <f>Liquor!$F35*1.5</f>
        <v>0.25097177623795841</v>
      </c>
      <c r="H35" s="9">
        <v>8</v>
      </c>
      <c r="I35" s="6">
        <f>Liquor!$G35/Liquor!$H35</f>
        <v>3.1371472029744801E-2</v>
      </c>
      <c r="J35" s="24"/>
      <c r="K35" s="3"/>
      <c r="L35" s="3"/>
      <c r="M35" s="3">
        <f>SUM(Liquor!$J35:$L35)</f>
        <v>0</v>
      </c>
      <c r="N35" s="9">
        <f t="shared" si="0"/>
        <v>0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2">
      <c r="A36" s="24"/>
      <c r="B36" s="4">
        <v>33.814</v>
      </c>
      <c r="C36" s="25" t="s">
        <v>56</v>
      </c>
      <c r="D36" s="25" t="s">
        <v>57</v>
      </c>
      <c r="E36" s="36">
        <v>11.66</v>
      </c>
      <c r="F36" s="36">
        <f t="shared" si="3"/>
        <v>0.34482758620689657</v>
      </c>
      <c r="G36" s="36">
        <f>Liquor!$F36*1.5</f>
        <v>0.51724137931034486</v>
      </c>
      <c r="H36" s="39">
        <v>8</v>
      </c>
      <c r="I36" s="16">
        <f>Liquor!$G36/Liquor!$H36</f>
        <v>6.4655172413793108E-2</v>
      </c>
      <c r="J36" s="24"/>
      <c r="K36" s="3"/>
      <c r="L36" s="3"/>
      <c r="M36" s="18">
        <f>SUM(Liquor!$J36:$L36)</f>
        <v>0</v>
      </c>
      <c r="N36" s="36">
        <f t="shared" si="0"/>
        <v>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2">
      <c r="A37" s="24" t="s">
        <v>58</v>
      </c>
      <c r="B37" s="4">
        <v>25.36</v>
      </c>
      <c r="C37" s="31" t="s">
        <v>59</v>
      </c>
      <c r="D37" s="25" t="s">
        <v>57</v>
      </c>
      <c r="E37" s="36">
        <v>18</v>
      </c>
      <c r="F37" s="36">
        <f t="shared" si="3"/>
        <v>0.70977917981072558</v>
      </c>
      <c r="G37" s="36">
        <f>Liquor!$F37*1.5</f>
        <v>1.0646687697160884</v>
      </c>
      <c r="H37" s="39"/>
      <c r="I37" s="16"/>
      <c r="J37" s="24"/>
      <c r="K37" s="3"/>
      <c r="L37" s="3"/>
      <c r="M37" s="18">
        <f>SUM(Liquor!$J37:$L37)</f>
        <v>0</v>
      </c>
      <c r="N37" s="36">
        <f t="shared" si="0"/>
        <v>0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2">
      <c r="A38" s="24" t="s">
        <v>58</v>
      </c>
      <c r="B38" s="4">
        <v>25.36</v>
      </c>
      <c r="C38" s="31" t="s">
        <v>60</v>
      </c>
      <c r="D38" s="25" t="s">
        <v>57</v>
      </c>
      <c r="E38" s="36">
        <v>17.13</v>
      </c>
      <c r="F38" s="36">
        <f t="shared" si="3"/>
        <v>0.67547318611987384</v>
      </c>
      <c r="G38" s="36">
        <f>Liquor!$F38*1.5</f>
        <v>1.0132097791798107</v>
      </c>
      <c r="H38" s="39"/>
      <c r="I38" s="16"/>
      <c r="J38" s="24"/>
      <c r="K38" s="3"/>
      <c r="L38" s="3"/>
      <c r="M38" s="18">
        <f>SUM(Liquor!$J38:$L38)</f>
        <v>0</v>
      </c>
      <c r="N38" s="36">
        <f t="shared" si="0"/>
        <v>0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2">
      <c r="A39" s="24" t="s">
        <v>44</v>
      </c>
      <c r="B39" s="4">
        <v>33.814</v>
      </c>
      <c r="C39" s="25" t="s">
        <v>61</v>
      </c>
      <c r="D39" s="25" t="s">
        <v>57</v>
      </c>
      <c r="E39" s="40">
        <v>11.26</v>
      </c>
      <c r="F39" s="9">
        <f t="shared" si="3"/>
        <v>0.33299816643993613</v>
      </c>
      <c r="G39" s="9">
        <f>Liquor!$F39*1.5</f>
        <v>0.49949724965990416</v>
      </c>
      <c r="H39" s="9">
        <v>8</v>
      </c>
      <c r="I39" s="6">
        <f>Liquor!$G39/Liquor!$H39</f>
        <v>6.243715620748802E-2</v>
      </c>
      <c r="J39" s="24"/>
      <c r="K39" s="3"/>
      <c r="L39" s="3"/>
      <c r="M39" s="3">
        <f>SUM(Liquor!$J39:$L39)</f>
        <v>0</v>
      </c>
      <c r="N39" s="9">
        <f t="shared" si="0"/>
        <v>0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2">
      <c r="A40" s="24" t="s">
        <v>58</v>
      </c>
      <c r="B40" s="4">
        <v>25.36</v>
      </c>
      <c r="C40" s="25" t="s">
        <v>62</v>
      </c>
      <c r="D40" s="25" t="s">
        <v>57</v>
      </c>
      <c r="E40" s="9">
        <v>20.86</v>
      </c>
      <c r="F40" s="9">
        <f t="shared" si="3"/>
        <v>0.8225552050473186</v>
      </c>
      <c r="G40" s="9">
        <f>Liquor!$F40*1.5</f>
        <v>1.2338328075709779</v>
      </c>
      <c r="H40" s="9">
        <v>8</v>
      </c>
      <c r="I40" s="6">
        <f>Liquor!$G40/Liquor!$H40</f>
        <v>0.15422910094637224</v>
      </c>
      <c r="J40" s="24"/>
      <c r="K40" s="3"/>
      <c r="L40" s="3"/>
      <c r="M40" s="3">
        <f>SUM(Liquor!$J40:$L40)</f>
        <v>0</v>
      </c>
      <c r="N40" s="9">
        <f t="shared" si="0"/>
        <v>0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2">
      <c r="A41" s="41" t="s">
        <v>58</v>
      </c>
      <c r="B41" s="42">
        <v>25.36</v>
      </c>
      <c r="C41" s="14" t="s">
        <v>63</v>
      </c>
      <c r="D41" s="14" t="s">
        <v>64</v>
      </c>
      <c r="E41" s="36">
        <v>26.16</v>
      </c>
      <c r="F41" s="9">
        <f t="shared" si="3"/>
        <v>1.0315457413249212</v>
      </c>
      <c r="G41" s="9">
        <f>Liquor!$F41*1.5</f>
        <v>1.5473186119873819</v>
      </c>
      <c r="H41" s="36">
        <v>12</v>
      </c>
      <c r="I41" s="6">
        <f>Liquor!$G41/Liquor!$H41</f>
        <v>0.12894321766561515</v>
      </c>
      <c r="J41" s="12"/>
      <c r="K41" s="18"/>
      <c r="L41" s="18"/>
      <c r="M41" s="3">
        <f>SUM(Liquor!$J41:$L41)</f>
        <v>0</v>
      </c>
      <c r="N41" s="9">
        <f t="shared" si="0"/>
        <v>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">
      <c r="A42" s="41" t="s">
        <v>58</v>
      </c>
      <c r="B42" s="42">
        <v>25.36</v>
      </c>
      <c r="C42" s="14" t="s">
        <v>65</v>
      </c>
      <c r="D42" s="14" t="s">
        <v>64</v>
      </c>
      <c r="E42" s="36">
        <v>29.42</v>
      </c>
      <c r="F42" s="9">
        <f t="shared" si="3"/>
        <v>1.1600946372239749</v>
      </c>
      <c r="G42" s="9">
        <f>Liquor!$F42*1.5</f>
        <v>1.7401419558359623</v>
      </c>
      <c r="H42" s="36">
        <v>12</v>
      </c>
      <c r="I42" s="6">
        <f>Liquor!$G42/Liquor!$H42</f>
        <v>0.14501182965299686</v>
      </c>
      <c r="J42" s="12"/>
      <c r="K42" s="18"/>
      <c r="L42" s="18"/>
      <c r="M42" s="3">
        <f>SUM(Liquor!$J42:$L42)</f>
        <v>0</v>
      </c>
      <c r="N42" s="9">
        <f t="shared" si="0"/>
        <v>0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2">
      <c r="A43" s="41" t="s">
        <v>58</v>
      </c>
      <c r="B43" s="42">
        <v>25.36</v>
      </c>
      <c r="C43" s="43" t="s">
        <v>66</v>
      </c>
      <c r="D43" s="14" t="s">
        <v>64</v>
      </c>
      <c r="E43" s="36">
        <v>28.6</v>
      </c>
      <c r="F43" s="9">
        <f t="shared" si="3"/>
        <v>1.1277602523659307</v>
      </c>
      <c r="G43" s="9">
        <f>Liquor!$F43*1.5</f>
        <v>1.691640378548896</v>
      </c>
      <c r="H43" s="36">
        <v>12</v>
      </c>
      <c r="I43" s="6">
        <f>Liquor!$G43/Liquor!$H43</f>
        <v>0.14097003154574134</v>
      </c>
      <c r="J43" s="12"/>
      <c r="K43" s="18"/>
      <c r="L43" s="18"/>
      <c r="M43" s="3">
        <f>SUM(Liquor!$J43:$L43)</f>
        <v>0</v>
      </c>
      <c r="N43" s="9">
        <f t="shared" si="0"/>
        <v>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2">
      <c r="A44" s="41" t="s">
        <v>58</v>
      </c>
      <c r="B44" s="42">
        <v>25.36</v>
      </c>
      <c r="C44" s="43" t="s">
        <v>67</v>
      </c>
      <c r="D44" s="14" t="s">
        <v>64</v>
      </c>
      <c r="E44" s="36">
        <v>41.366999999999997</v>
      </c>
      <c r="F44" s="9">
        <f t="shared" si="3"/>
        <v>1.6311908517350158</v>
      </c>
      <c r="G44" s="9">
        <f>Liquor!$F44*1.5</f>
        <v>2.4467862776025235</v>
      </c>
      <c r="H44" s="36">
        <v>12</v>
      </c>
      <c r="I44" s="6">
        <f>Liquor!$G44/Liquor!$H44</f>
        <v>0.20389885646687697</v>
      </c>
      <c r="J44" s="12"/>
      <c r="K44" s="18"/>
      <c r="L44" s="18"/>
      <c r="M44" s="3">
        <f>SUM(Liquor!$J44:$L44)</f>
        <v>0</v>
      </c>
      <c r="N44" s="9">
        <f t="shared" si="0"/>
        <v>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">
      <c r="A45" s="41"/>
      <c r="B45" s="42">
        <v>12</v>
      </c>
      <c r="C45" s="43" t="s">
        <v>68</v>
      </c>
      <c r="D45" s="14" t="s">
        <v>64</v>
      </c>
      <c r="E45" s="36">
        <v>2.79</v>
      </c>
      <c r="F45" s="9">
        <f t="shared" si="3"/>
        <v>0.23250000000000001</v>
      </c>
      <c r="G45" s="9">
        <f>Liquor!$F45*1.5</f>
        <v>0.34875</v>
      </c>
      <c r="H45" s="36">
        <v>7</v>
      </c>
      <c r="I45" s="6">
        <f>Liquor!$G45/Liquor!$H45</f>
        <v>4.9821428571428572E-2</v>
      </c>
      <c r="J45" s="12"/>
      <c r="K45" s="18"/>
      <c r="L45" s="18"/>
      <c r="M45" s="3">
        <f>SUM(Liquor!$J45:$L45)</f>
        <v>0</v>
      </c>
      <c r="N45" s="9">
        <f t="shared" si="0"/>
        <v>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">
      <c r="A46" s="41"/>
      <c r="B46" s="42">
        <v>7</v>
      </c>
      <c r="C46" s="43" t="s">
        <v>69</v>
      </c>
      <c r="D46" s="14" t="s">
        <v>70</v>
      </c>
      <c r="E46" s="36">
        <v>2.79</v>
      </c>
      <c r="F46" s="9">
        <f t="shared" si="3"/>
        <v>0.39857142857142858</v>
      </c>
      <c r="G46" s="9">
        <f>Liquor!$F46*1.5</f>
        <v>0.59785714285714286</v>
      </c>
      <c r="H46" s="36">
        <v>8</v>
      </c>
      <c r="I46" s="6">
        <f>Liquor!$G46/Liquor!$H46</f>
        <v>7.4732142857142858E-2</v>
      </c>
      <c r="J46" s="12"/>
      <c r="K46" s="18"/>
      <c r="L46" s="18"/>
      <c r="M46" s="3">
        <f>SUM(Liquor!$J46:$L46)</f>
        <v>0</v>
      </c>
      <c r="N46" s="9">
        <f t="shared" si="0"/>
        <v>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">
      <c r="A47" s="41" t="s">
        <v>58</v>
      </c>
      <c r="B47" s="42">
        <v>25.36</v>
      </c>
      <c r="C47" s="43" t="s">
        <v>71</v>
      </c>
      <c r="D47" s="14" t="s">
        <v>64</v>
      </c>
      <c r="E47" s="36">
        <v>23.43</v>
      </c>
      <c r="F47" s="9">
        <f t="shared" si="3"/>
        <v>0.92389589905362779</v>
      </c>
      <c r="G47" s="9">
        <f>Liquor!$F47*1.5</f>
        <v>1.3858438485804416</v>
      </c>
      <c r="H47" s="36">
        <v>12</v>
      </c>
      <c r="I47" s="6">
        <f>Liquor!$G47/Liquor!$H47</f>
        <v>0.11548698738170347</v>
      </c>
      <c r="J47" s="12"/>
      <c r="K47" s="18"/>
      <c r="L47" s="18"/>
      <c r="M47" s="3">
        <f>SUM(Liquor!$J47:$L47)</f>
        <v>0</v>
      </c>
      <c r="N47" s="9">
        <f t="shared" si="0"/>
        <v>0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">
      <c r="A48" s="41"/>
      <c r="B48" s="42">
        <v>5.95</v>
      </c>
      <c r="C48" s="14" t="s">
        <v>72</v>
      </c>
      <c r="D48" s="14" t="s">
        <v>64</v>
      </c>
      <c r="E48" s="36">
        <v>3</v>
      </c>
      <c r="F48" s="9">
        <f t="shared" si="3"/>
        <v>0.50420168067226889</v>
      </c>
      <c r="G48" s="9">
        <f>Liquor!$F48*1.5</f>
        <v>0.75630252100840334</v>
      </c>
      <c r="H48" s="36">
        <v>10</v>
      </c>
      <c r="I48" s="6">
        <f>Liquor!$E48/Liquor!$H48</f>
        <v>0.3</v>
      </c>
      <c r="J48" s="12"/>
      <c r="K48" s="18"/>
      <c r="L48" s="44">
        <f>48+20</f>
        <v>68</v>
      </c>
      <c r="M48" s="3">
        <f>SUM(Liquor!$J48:$L48)</f>
        <v>68</v>
      </c>
      <c r="N48" s="9">
        <f>$M48*$E40</f>
        <v>1418.48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">
      <c r="A49" s="41"/>
      <c r="B49" s="42"/>
      <c r="C49" s="14" t="s">
        <v>73</v>
      </c>
      <c r="D49" s="14" t="s">
        <v>74</v>
      </c>
      <c r="E49" s="36">
        <v>55</v>
      </c>
      <c r="F49" s="9"/>
      <c r="G49" s="9"/>
      <c r="H49" s="36"/>
      <c r="I49" s="6"/>
      <c r="J49" s="12"/>
      <c r="K49" s="18"/>
      <c r="L49" s="18"/>
      <c r="M49" s="3">
        <f>SUM(Liquor!$J49:$L49)</f>
        <v>0</v>
      </c>
      <c r="N49" s="9">
        <f t="shared" ref="N49:N51" si="4">$M49*$E42</f>
        <v>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">
      <c r="A50" s="41"/>
      <c r="B50" s="42"/>
      <c r="C50" s="14" t="s">
        <v>75</v>
      </c>
      <c r="D50" s="14" t="s">
        <v>74</v>
      </c>
      <c r="E50" s="36">
        <v>55</v>
      </c>
      <c r="F50" s="9"/>
      <c r="G50" s="9"/>
      <c r="H50" s="36"/>
      <c r="I50" s="6"/>
      <c r="J50" s="12"/>
      <c r="K50" s="18"/>
      <c r="L50" s="18"/>
      <c r="M50" s="3">
        <f>SUM(Liquor!$J50:$L50)</f>
        <v>0</v>
      </c>
      <c r="N50" s="9">
        <f t="shared" si="4"/>
        <v>0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2">
      <c r="A51" s="41"/>
      <c r="B51" s="42"/>
      <c r="C51" s="14" t="s">
        <v>76</v>
      </c>
      <c r="D51" s="14" t="s">
        <v>74</v>
      </c>
      <c r="E51" s="36">
        <v>55</v>
      </c>
      <c r="F51" s="9"/>
      <c r="G51" s="9"/>
      <c r="H51" s="36"/>
      <c r="I51" s="6"/>
      <c r="J51" s="12"/>
      <c r="K51" s="18"/>
      <c r="L51" s="18"/>
      <c r="M51" s="3">
        <f>SUM(Liquor!$J51:$L51)</f>
        <v>0</v>
      </c>
      <c r="N51" s="9">
        <f t="shared" si="4"/>
        <v>0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2">
      <c r="A52" s="41"/>
      <c r="B52" s="42"/>
      <c r="C52" s="14" t="s">
        <v>77</v>
      </c>
      <c r="D52" s="14" t="s">
        <v>74</v>
      </c>
      <c r="E52" s="36">
        <v>26.15</v>
      </c>
      <c r="F52" s="9"/>
      <c r="G52" s="9"/>
      <c r="H52" s="36"/>
      <c r="I52" s="6"/>
      <c r="J52" s="12"/>
      <c r="K52" s="18"/>
      <c r="L52" s="18"/>
      <c r="M52" s="3">
        <f>SUM(Liquor!$J52:$L52)</f>
        <v>0</v>
      </c>
      <c r="N52" s="9">
        <f>$M52*$E40</f>
        <v>0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">
      <c r="A53" s="41"/>
      <c r="B53" s="42"/>
      <c r="C53" s="14" t="s">
        <v>78</v>
      </c>
      <c r="D53" s="14" t="s">
        <v>74</v>
      </c>
      <c r="E53" s="36">
        <v>2.56</v>
      </c>
      <c r="F53" s="9"/>
      <c r="G53" s="9"/>
      <c r="H53" s="36"/>
      <c r="I53" s="6"/>
      <c r="J53" s="12"/>
      <c r="K53" s="18"/>
      <c r="L53" s="18"/>
      <c r="M53" s="3">
        <f>SUM(Liquor!$J53:$L53)</f>
        <v>0</v>
      </c>
      <c r="N53" s="9">
        <f t="shared" ref="N53:N374" si="5">$M53*$E53</f>
        <v>0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2">
      <c r="A54" s="41"/>
      <c r="B54" s="42">
        <v>64</v>
      </c>
      <c r="C54" s="14" t="s">
        <v>79</v>
      </c>
      <c r="D54" s="14" t="s">
        <v>74</v>
      </c>
      <c r="E54" s="36">
        <v>34.799999999999997</v>
      </c>
      <c r="F54" s="36"/>
      <c r="G54" s="36"/>
      <c r="H54" s="36"/>
      <c r="I54" s="16"/>
      <c r="J54" s="12"/>
      <c r="K54" s="18"/>
      <c r="L54" s="18"/>
      <c r="M54" s="3">
        <f>SUM(Liquor!$J54:$L54)</f>
        <v>0</v>
      </c>
      <c r="N54" s="9">
        <f t="shared" si="5"/>
        <v>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">
      <c r="A55" s="41"/>
      <c r="B55" s="42"/>
      <c r="C55" s="14" t="s">
        <v>80</v>
      </c>
      <c r="D55" s="14" t="s">
        <v>74</v>
      </c>
      <c r="E55" s="36">
        <v>94.95</v>
      </c>
      <c r="F55" s="36"/>
      <c r="G55" s="36"/>
      <c r="H55" s="36"/>
      <c r="I55" s="16"/>
      <c r="J55" s="12"/>
      <c r="K55" s="18"/>
      <c r="L55" s="18"/>
      <c r="M55" s="3">
        <f>SUM(Liquor!$J55:$L55)</f>
        <v>0</v>
      </c>
      <c r="N55" s="9">
        <f t="shared" si="5"/>
        <v>0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">
      <c r="A56" s="41"/>
      <c r="B56" s="42"/>
      <c r="C56" s="14" t="s">
        <v>81</v>
      </c>
      <c r="D56" s="14" t="s">
        <v>82</v>
      </c>
      <c r="E56" s="36">
        <v>65</v>
      </c>
      <c r="F56" s="36"/>
      <c r="G56" s="36"/>
      <c r="H56" s="36"/>
      <c r="I56" s="16"/>
      <c r="J56" s="12"/>
      <c r="K56" s="18"/>
      <c r="L56" s="44">
        <v>3</v>
      </c>
      <c r="M56" s="3">
        <f>SUM(Liquor!$J56:$L56)</f>
        <v>3</v>
      </c>
      <c r="N56" s="9">
        <f t="shared" si="5"/>
        <v>195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">
      <c r="A57" s="41"/>
      <c r="B57" s="42"/>
      <c r="C57" s="14" t="s">
        <v>83</v>
      </c>
      <c r="D57" s="14" t="s">
        <v>82</v>
      </c>
      <c r="E57" s="36">
        <v>80.75</v>
      </c>
      <c r="F57" s="36"/>
      <c r="G57" s="36"/>
      <c r="H57" s="45"/>
      <c r="I57" s="16"/>
      <c r="J57" s="12"/>
      <c r="K57" s="18"/>
      <c r="L57" s="18"/>
      <c r="M57" s="3">
        <f>SUM(Liquor!$J57:$L57)</f>
        <v>0</v>
      </c>
      <c r="N57" s="9">
        <f t="shared" si="5"/>
        <v>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2">
      <c r="A58" s="41" t="s">
        <v>58</v>
      </c>
      <c r="B58" s="42">
        <v>25.36</v>
      </c>
      <c r="C58" s="14" t="s">
        <v>84</v>
      </c>
      <c r="D58" s="14" t="s">
        <v>85</v>
      </c>
      <c r="E58" s="36">
        <v>37.06</v>
      </c>
      <c r="F58" s="36">
        <f t="shared" ref="F58:F295" si="6">$E58/$B58</f>
        <v>1.4613564668769716</v>
      </c>
      <c r="G58" s="36">
        <f>Liquor!$F58*1.5</f>
        <v>2.1920347003154577</v>
      </c>
      <c r="H58" s="45">
        <v>13</v>
      </c>
      <c r="I58" s="16">
        <f>Liquor!$G58/Liquor!$H58</f>
        <v>0.16861805387041981</v>
      </c>
      <c r="J58" s="46">
        <v>0.85</v>
      </c>
      <c r="K58" s="18"/>
      <c r="L58" s="18"/>
      <c r="M58" s="3">
        <f>SUM(Liquor!$J58:$L58)</f>
        <v>0.85</v>
      </c>
      <c r="N58" s="36">
        <f t="shared" si="5"/>
        <v>31.501000000000001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">
      <c r="A59" s="24" t="s">
        <v>44</v>
      </c>
      <c r="B59" s="4">
        <v>33.814</v>
      </c>
      <c r="C59" s="25" t="s">
        <v>86</v>
      </c>
      <c r="D59" s="25" t="s">
        <v>87</v>
      </c>
      <c r="E59" s="9">
        <v>45.48</v>
      </c>
      <c r="F59" s="9">
        <f t="shared" si="6"/>
        <v>1.3450050275034009</v>
      </c>
      <c r="G59" s="9">
        <f>Liquor!$F59*1.5</f>
        <v>2.0175075412551013</v>
      </c>
      <c r="H59" s="9">
        <v>16</v>
      </c>
      <c r="I59" s="6">
        <f>Liquor!$G59/Liquor!$H59</f>
        <v>0.12609422132844383</v>
      </c>
      <c r="J59" s="47">
        <v>0.6</v>
      </c>
      <c r="K59" s="3"/>
      <c r="L59" s="3"/>
      <c r="M59" s="3">
        <f>SUM(Liquor!$J59:$L59)</f>
        <v>0.6</v>
      </c>
      <c r="N59" s="9">
        <f t="shared" si="5"/>
        <v>27.287999999999997</v>
      </c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2">
      <c r="A60" s="24" t="s">
        <v>58</v>
      </c>
      <c r="B60" s="4">
        <v>25.36</v>
      </c>
      <c r="C60" s="48" t="s">
        <v>88</v>
      </c>
      <c r="D60" s="25" t="s">
        <v>87</v>
      </c>
      <c r="E60" s="9">
        <v>47.83</v>
      </c>
      <c r="F60" s="9">
        <f t="shared" si="6"/>
        <v>1.8860410094637223</v>
      </c>
      <c r="G60" s="9">
        <f>Liquor!$F60*1.5</f>
        <v>2.8290615141955833</v>
      </c>
      <c r="H60" s="9">
        <v>16</v>
      </c>
      <c r="I60" s="6">
        <f>Liquor!$G60/Liquor!$H60</f>
        <v>0.17681634463722395</v>
      </c>
      <c r="J60" s="24"/>
      <c r="K60" s="3"/>
      <c r="L60" s="3"/>
      <c r="M60" s="3">
        <f>SUM(Liquor!$J60:$L60)</f>
        <v>0</v>
      </c>
      <c r="N60" s="9">
        <f t="shared" si="5"/>
        <v>0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 x14ac:dyDescent="0.2">
      <c r="A61" s="24" t="s">
        <v>44</v>
      </c>
      <c r="B61" s="4">
        <v>33.814</v>
      </c>
      <c r="C61" s="49" t="s">
        <v>89</v>
      </c>
      <c r="D61" s="25" t="s">
        <v>87</v>
      </c>
      <c r="E61" s="9">
        <v>49.12</v>
      </c>
      <c r="F61" s="9">
        <f t="shared" si="6"/>
        <v>1.4526527473827409</v>
      </c>
      <c r="G61" s="9">
        <f>Liquor!$F61*1.5</f>
        <v>2.1789791210741112</v>
      </c>
      <c r="H61" s="9">
        <v>15</v>
      </c>
      <c r="I61" s="6">
        <f>Liquor!$G61/Liquor!$H61</f>
        <v>0.14526527473827408</v>
      </c>
      <c r="J61" s="47">
        <v>0.25</v>
      </c>
      <c r="K61" s="3"/>
      <c r="L61" s="3"/>
      <c r="M61" s="3">
        <f>SUM(Liquor!$J61:$L61)</f>
        <v>0.25</v>
      </c>
      <c r="N61" s="9">
        <f t="shared" si="5"/>
        <v>12.28</v>
      </c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2">
      <c r="A62" s="24" t="s">
        <v>58</v>
      </c>
      <c r="B62" s="4">
        <v>25.36</v>
      </c>
      <c r="C62" s="25" t="s">
        <v>89</v>
      </c>
      <c r="D62" s="25" t="s">
        <v>87</v>
      </c>
      <c r="E62" s="9">
        <v>41.08</v>
      </c>
      <c r="F62" s="9">
        <f t="shared" si="6"/>
        <v>1.6198738170347002</v>
      </c>
      <c r="G62" s="9">
        <f>Liquor!$F62*1.5</f>
        <v>2.4298107255520502</v>
      </c>
      <c r="H62" s="9">
        <v>15</v>
      </c>
      <c r="I62" s="6">
        <f>Liquor!$G62/Liquor!$H62</f>
        <v>0.16198738170347002</v>
      </c>
      <c r="J62" s="24"/>
      <c r="K62" s="3"/>
      <c r="L62" s="3"/>
      <c r="M62" s="3">
        <f>SUM(Liquor!$J62:$L62)</f>
        <v>0</v>
      </c>
      <c r="N62" s="9">
        <f t="shared" si="5"/>
        <v>0</v>
      </c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2">
      <c r="A63" s="24" t="s">
        <v>58</v>
      </c>
      <c r="B63" s="4">
        <v>25.36</v>
      </c>
      <c r="C63" s="25" t="s">
        <v>90</v>
      </c>
      <c r="D63" s="25" t="s">
        <v>91</v>
      </c>
      <c r="E63" s="9">
        <v>38.86</v>
      </c>
      <c r="F63" s="9">
        <f t="shared" si="6"/>
        <v>1.5323343848580442</v>
      </c>
      <c r="G63" s="9">
        <f>Liquor!$F63*1.5</f>
        <v>2.2985015772870661</v>
      </c>
      <c r="H63" s="9">
        <v>17</v>
      </c>
      <c r="I63" s="6">
        <f>Liquor!$G63/Liquor!$H63</f>
        <v>0.13520597513453331</v>
      </c>
      <c r="J63" s="47">
        <v>0.5</v>
      </c>
      <c r="K63" s="3"/>
      <c r="L63" s="3"/>
      <c r="M63" s="3">
        <f>SUM(Liquor!$J63:$L63)</f>
        <v>0.5</v>
      </c>
      <c r="N63" s="9">
        <f t="shared" si="5"/>
        <v>19.43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2">
      <c r="A64" s="24" t="s">
        <v>58</v>
      </c>
      <c r="B64" s="4">
        <v>25.36</v>
      </c>
      <c r="C64" s="25" t="s">
        <v>92</v>
      </c>
      <c r="D64" s="25" t="s">
        <v>87</v>
      </c>
      <c r="E64" s="39">
        <v>66.239999999999995</v>
      </c>
      <c r="F64" s="9">
        <f t="shared" si="6"/>
        <v>2.6119873817034698</v>
      </c>
      <c r="G64" s="9">
        <f>Liquor!$F64*1.5</f>
        <v>3.9179810725552047</v>
      </c>
      <c r="H64" s="39">
        <v>22</v>
      </c>
      <c r="I64" s="6">
        <f>Liquor!$G64/Liquor!$H64</f>
        <v>0.17809004875250931</v>
      </c>
      <c r="J64" s="47">
        <v>0.65</v>
      </c>
      <c r="K64" s="3"/>
      <c r="L64" s="3"/>
      <c r="M64" s="3">
        <f>SUM(Liquor!$J64:$L64)</f>
        <v>0.65</v>
      </c>
      <c r="N64" s="9">
        <f t="shared" si="5"/>
        <v>43.055999999999997</v>
      </c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 x14ac:dyDescent="0.2">
      <c r="A65" s="34" t="s">
        <v>58</v>
      </c>
      <c r="B65" s="35">
        <v>25.36</v>
      </c>
      <c r="C65" s="14" t="s">
        <v>93</v>
      </c>
      <c r="D65" s="14" t="s">
        <v>87</v>
      </c>
      <c r="E65" s="36">
        <v>22.75</v>
      </c>
      <c r="F65" s="36">
        <f t="shared" si="6"/>
        <v>0.89708201892744477</v>
      </c>
      <c r="G65" s="36">
        <f>Liquor!$F65*1.5</f>
        <v>1.3456230283911672</v>
      </c>
      <c r="H65" s="36">
        <v>12</v>
      </c>
      <c r="I65" s="16">
        <f>Liquor!$G65/Liquor!$H65</f>
        <v>0.1121352523659306</v>
      </c>
      <c r="J65" s="10"/>
      <c r="K65" s="18"/>
      <c r="L65" s="18"/>
      <c r="M65" s="3">
        <f>SUM(Liquor!$J65:$L65)</f>
        <v>0</v>
      </c>
      <c r="N65" s="36">
        <f t="shared" si="5"/>
        <v>0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">
      <c r="A66" s="24" t="s">
        <v>44</v>
      </c>
      <c r="B66" s="4">
        <v>33.814</v>
      </c>
      <c r="C66" s="25" t="s">
        <v>93</v>
      </c>
      <c r="D66" s="25" t="s">
        <v>87</v>
      </c>
      <c r="E66" s="9">
        <v>26.38</v>
      </c>
      <c r="F66" s="9">
        <f t="shared" si="6"/>
        <v>0.78015023363104041</v>
      </c>
      <c r="G66" s="9">
        <f>Liquor!$F66*1.5</f>
        <v>1.1702253504465605</v>
      </c>
      <c r="H66" s="9">
        <v>12</v>
      </c>
      <c r="I66" s="6">
        <f>Liquor!$G66/Liquor!$H66</f>
        <v>9.7518779203880038E-2</v>
      </c>
      <c r="J66" s="47">
        <v>0.3</v>
      </c>
      <c r="K66" s="3"/>
      <c r="L66" s="3"/>
      <c r="M66" s="3">
        <f>SUM(Liquor!$J66:$L66)</f>
        <v>0.3</v>
      </c>
      <c r="N66" s="9">
        <f t="shared" si="5"/>
        <v>7.9139999999999997</v>
      </c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 x14ac:dyDescent="0.2">
      <c r="A67" s="24" t="s">
        <v>58</v>
      </c>
      <c r="B67" s="4">
        <v>25.36</v>
      </c>
      <c r="C67" s="25" t="s">
        <v>94</v>
      </c>
      <c r="D67" s="25" t="s">
        <v>87</v>
      </c>
      <c r="E67" s="9">
        <v>27.36</v>
      </c>
      <c r="F67" s="9">
        <f t="shared" si="6"/>
        <v>1.0788643533123028</v>
      </c>
      <c r="G67" s="9">
        <f>Liquor!$F67*1.5</f>
        <v>1.6182965299684542</v>
      </c>
      <c r="H67" s="9">
        <v>12</v>
      </c>
      <c r="I67" s="6">
        <f>Liquor!$G67/Liquor!$H67</f>
        <v>0.13485804416403785</v>
      </c>
      <c r="J67" s="24"/>
      <c r="K67" s="3"/>
      <c r="L67" s="3"/>
      <c r="M67" s="3">
        <f>SUM(Liquor!$J67:$L67)</f>
        <v>0</v>
      </c>
      <c r="N67" s="9">
        <f t="shared" si="5"/>
        <v>0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 x14ac:dyDescent="0.2">
      <c r="A68" s="24" t="s">
        <v>44</v>
      </c>
      <c r="B68" s="4">
        <v>33.814</v>
      </c>
      <c r="C68" s="25" t="s">
        <v>94</v>
      </c>
      <c r="D68" s="25" t="s">
        <v>87</v>
      </c>
      <c r="E68" s="9">
        <v>31.59</v>
      </c>
      <c r="F68" s="9">
        <f t="shared" si="6"/>
        <v>0.9342284260957</v>
      </c>
      <c r="G68" s="9">
        <f>Liquor!$F68*1.5</f>
        <v>1.40134263914355</v>
      </c>
      <c r="H68" s="9">
        <v>12</v>
      </c>
      <c r="I68" s="6">
        <f>Liquor!$G68/Liquor!$H68</f>
        <v>0.1167785532619625</v>
      </c>
      <c r="J68" s="24"/>
      <c r="K68" s="3"/>
      <c r="L68" s="3"/>
      <c r="M68" s="3">
        <f>SUM(Liquor!$J68:$L68)</f>
        <v>0</v>
      </c>
      <c r="N68" s="9">
        <f t="shared" si="5"/>
        <v>0</v>
      </c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 x14ac:dyDescent="0.2">
      <c r="A69" s="24" t="s">
        <v>44</v>
      </c>
      <c r="B69" s="4">
        <v>33.814</v>
      </c>
      <c r="C69" s="25" t="s">
        <v>95</v>
      </c>
      <c r="D69" s="25" t="s">
        <v>91</v>
      </c>
      <c r="E69" s="9">
        <v>31.59</v>
      </c>
      <c r="F69" s="9">
        <f t="shared" si="6"/>
        <v>0.9342284260957</v>
      </c>
      <c r="G69" s="9">
        <f>Liquor!$F69*1.5</f>
        <v>1.40134263914355</v>
      </c>
      <c r="H69" s="9">
        <v>14</v>
      </c>
      <c r="I69" s="6">
        <f>Liquor!$G69/Liquor!$H69</f>
        <v>0.10009590279596785</v>
      </c>
      <c r="J69" s="47">
        <v>0.3</v>
      </c>
      <c r="K69" s="3"/>
      <c r="L69" s="3"/>
      <c r="M69" s="3">
        <f>SUM(Liquor!$J69:$L69)</f>
        <v>0.3</v>
      </c>
      <c r="N69" s="9">
        <f t="shared" si="5"/>
        <v>9.4770000000000003</v>
      </c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x14ac:dyDescent="0.2">
      <c r="A70" s="24" t="s">
        <v>58</v>
      </c>
      <c r="B70" s="4">
        <v>25.36</v>
      </c>
      <c r="C70" s="14" t="s">
        <v>96</v>
      </c>
      <c r="D70" s="25" t="s">
        <v>85</v>
      </c>
      <c r="E70" s="9">
        <v>36.79</v>
      </c>
      <c r="F70" s="9">
        <f t="shared" si="6"/>
        <v>1.4507097791798107</v>
      </c>
      <c r="G70" s="9">
        <f>Liquor!$F70*1.5</f>
        <v>2.1760646687697163</v>
      </c>
      <c r="H70" s="9">
        <v>14</v>
      </c>
      <c r="I70" s="6">
        <f>Liquor!$G70/Liquor!$H70</f>
        <v>0.15543319062640831</v>
      </c>
      <c r="J70" s="47">
        <v>0.1</v>
      </c>
      <c r="K70" s="3"/>
      <c r="L70" s="3"/>
      <c r="M70" s="3">
        <f>SUM(Liquor!$J70:$L70)</f>
        <v>0.1</v>
      </c>
      <c r="N70" s="9">
        <f t="shared" si="5"/>
        <v>3.6790000000000003</v>
      </c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x14ac:dyDescent="0.2">
      <c r="A71" s="41" t="s">
        <v>58</v>
      </c>
      <c r="B71" s="42">
        <v>25.36</v>
      </c>
      <c r="C71" s="14" t="s">
        <v>97</v>
      </c>
      <c r="D71" s="14" t="s">
        <v>85</v>
      </c>
      <c r="E71" s="36">
        <v>33.75</v>
      </c>
      <c r="F71" s="36">
        <f t="shared" si="6"/>
        <v>1.3308359621451105</v>
      </c>
      <c r="G71" s="36">
        <f>Liquor!$F71*1.5</f>
        <v>1.9962539432176656</v>
      </c>
      <c r="H71" s="36">
        <v>14</v>
      </c>
      <c r="I71" s="16">
        <f>Liquor!$G71/Liquor!$H71</f>
        <v>0.14258956737269041</v>
      </c>
      <c r="J71" s="46">
        <v>0.15</v>
      </c>
      <c r="K71" s="18"/>
      <c r="L71" s="18"/>
      <c r="M71" s="18">
        <f>SUM(Liquor!$J71:$L71)</f>
        <v>0.15</v>
      </c>
      <c r="N71" s="36">
        <f t="shared" si="5"/>
        <v>5.0625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">
      <c r="A72" s="24" t="s">
        <v>44</v>
      </c>
      <c r="B72" s="4">
        <v>33.814</v>
      </c>
      <c r="C72" s="25" t="s">
        <v>98</v>
      </c>
      <c r="D72" s="25" t="s">
        <v>99</v>
      </c>
      <c r="E72" s="9">
        <v>33.200000000000003</v>
      </c>
      <c r="F72" s="9">
        <f t="shared" si="6"/>
        <v>0.98184184065771585</v>
      </c>
      <c r="G72" s="9">
        <f>Liquor!$F72*1.5</f>
        <v>1.4727627609865737</v>
      </c>
      <c r="H72" s="9">
        <v>12</v>
      </c>
      <c r="I72" s="6">
        <f>Liquor!$G72/Liquor!$H72</f>
        <v>0.12273023008221447</v>
      </c>
      <c r="J72" s="47">
        <v>0.75</v>
      </c>
      <c r="K72" s="3"/>
      <c r="L72" s="3"/>
      <c r="M72" s="3">
        <f>SUM(Liquor!$J72:$L72)</f>
        <v>0.75</v>
      </c>
      <c r="N72" s="9">
        <f t="shared" si="5"/>
        <v>24.900000000000002</v>
      </c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2">
      <c r="A73" s="24" t="s">
        <v>58</v>
      </c>
      <c r="B73" s="4">
        <v>25.36</v>
      </c>
      <c r="C73" s="25" t="s">
        <v>100</v>
      </c>
      <c r="D73" s="25" t="s">
        <v>87</v>
      </c>
      <c r="E73" s="9">
        <v>33.32</v>
      </c>
      <c r="F73" s="9">
        <f t="shared" si="6"/>
        <v>1.3138801261829653</v>
      </c>
      <c r="G73" s="9">
        <f>Liquor!$F73*1.5</f>
        <v>1.9708201892744479</v>
      </c>
      <c r="H73" s="9">
        <v>16</v>
      </c>
      <c r="I73" s="6">
        <f>Liquor!$G73/Liquor!$H73</f>
        <v>0.12317626182965299</v>
      </c>
      <c r="J73" s="47">
        <v>0.5</v>
      </c>
      <c r="K73" s="3"/>
      <c r="L73" s="3"/>
      <c r="M73" s="3">
        <f>SUM(Liquor!$J73:$L73)</f>
        <v>0.5</v>
      </c>
      <c r="N73" s="9">
        <f t="shared" si="5"/>
        <v>16.66</v>
      </c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2">
      <c r="A74" s="24" t="s">
        <v>58</v>
      </c>
      <c r="B74" s="4">
        <v>25.36</v>
      </c>
      <c r="C74" s="25" t="s">
        <v>101</v>
      </c>
      <c r="D74" s="25" t="s">
        <v>87</v>
      </c>
      <c r="E74" s="50">
        <v>64.61</v>
      </c>
      <c r="F74" s="9">
        <f t="shared" si="6"/>
        <v>2.5477129337539433</v>
      </c>
      <c r="G74" s="9">
        <f>Liquor!$F74*1.5</f>
        <v>3.8215694006309149</v>
      </c>
      <c r="H74" s="39">
        <v>24</v>
      </c>
      <c r="I74" s="6">
        <f>Liquor!$G74/Liquor!$H74</f>
        <v>0.15923205835962145</v>
      </c>
      <c r="J74" s="47">
        <v>0.25</v>
      </c>
      <c r="K74" s="3"/>
      <c r="L74" s="3"/>
      <c r="M74" s="3">
        <f>SUM(Liquor!$J74:$L74)</f>
        <v>0.25</v>
      </c>
      <c r="N74" s="9">
        <f t="shared" si="5"/>
        <v>16.1525</v>
      </c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2">
      <c r="A75" s="24" t="s">
        <v>58</v>
      </c>
      <c r="B75" s="4">
        <v>25.36</v>
      </c>
      <c r="C75" s="25" t="s">
        <v>102</v>
      </c>
      <c r="D75" s="25" t="s">
        <v>87</v>
      </c>
      <c r="E75" s="9">
        <v>44.81</v>
      </c>
      <c r="F75" s="9">
        <f t="shared" si="6"/>
        <v>1.7669558359621453</v>
      </c>
      <c r="G75" s="9">
        <f>Liquor!$F75*1.5</f>
        <v>2.6504337539432181</v>
      </c>
      <c r="H75" s="9">
        <v>18</v>
      </c>
      <c r="I75" s="6">
        <f>Liquor!$G75/Liquor!$H75</f>
        <v>0.14724631966351212</v>
      </c>
      <c r="J75" s="47">
        <v>0.1</v>
      </c>
      <c r="K75" s="3"/>
      <c r="L75" s="3"/>
      <c r="M75" s="3">
        <f>SUM(Liquor!$J75:$L75)</f>
        <v>0.1</v>
      </c>
      <c r="N75" s="9">
        <f t="shared" si="5"/>
        <v>4.4810000000000008</v>
      </c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2">
      <c r="A76" s="24" t="s">
        <v>44</v>
      </c>
      <c r="B76" s="4">
        <v>33.814</v>
      </c>
      <c r="C76" s="25" t="s">
        <v>103</v>
      </c>
      <c r="D76" s="25" t="s">
        <v>87</v>
      </c>
      <c r="E76" s="9">
        <v>16.850000000000001</v>
      </c>
      <c r="F76" s="9">
        <f t="shared" si="6"/>
        <v>0.49831430768320817</v>
      </c>
      <c r="G76" s="9">
        <f>Liquor!$F76*1.5</f>
        <v>0.74747146152481225</v>
      </c>
      <c r="H76" s="9">
        <v>10</v>
      </c>
      <c r="I76" s="6">
        <f>Liquor!$G76/Liquor!$H76</f>
        <v>7.4747146152481223E-2</v>
      </c>
      <c r="J76" s="47">
        <v>0.9</v>
      </c>
      <c r="K76" s="3"/>
      <c r="L76" s="3"/>
      <c r="M76" s="30">
        <f>SUM(Liquor!$J76:$L76)+$J408</f>
        <v>0.9</v>
      </c>
      <c r="N76" s="9">
        <f t="shared" si="5"/>
        <v>15.165000000000001</v>
      </c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2">
      <c r="A77" s="24" t="s">
        <v>58</v>
      </c>
      <c r="B77" s="4">
        <v>25.36</v>
      </c>
      <c r="C77" s="51" t="s">
        <v>104</v>
      </c>
      <c r="D77" s="25" t="s">
        <v>87</v>
      </c>
      <c r="E77" s="36">
        <v>45.11</v>
      </c>
      <c r="F77" s="36">
        <f t="shared" si="6"/>
        <v>1.7787854889589905</v>
      </c>
      <c r="G77" s="36">
        <f>Liquor!$F77*1.5</f>
        <v>2.6681782334384856</v>
      </c>
      <c r="H77" s="9">
        <v>17</v>
      </c>
      <c r="I77" s="16">
        <f>Liquor!$G77/Liquor!$H77</f>
        <v>0.15695166079049916</v>
      </c>
      <c r="J77" s="47">
        <v>0.5</v>
      </c>
      <c r="K77" s="3"/>
      <c r="L77" s="3"/>
      <c r="M77" s="3">
        <f>SUM(Liquor!$J77:$L77)</f>
        <v>0.5</v>
      </c>
      <c r="N77" s="36">
        <f t="shared" si="5"/>
        <v>22.555</v>
      </c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2">
      <c r="A78" s="24" t="s">
        <v>58</v>
      </c>
      <c r="B78" s="4">
        <v>25.36</v>
      </c>
      <c r="C78" s="25" t="s">
        <v>105</v>
      </c>
      <c r="D78" s="25" t="s">
        <v>87</v>
      </c>
      <c r="E78" s="9">
        <v>64.400000000000006</v>
      </c>
      <c r="F78" s="9">
        <f t="shared" si="6"/>
        <v>2.5394321766561516</v>
      </c>
      <c r="G78" s="9">
        <f>Liquor!$F78*1.5</f>
        <v>3.8091482649842274</v>
      </c>
      <c r="H78" s="9">
        <v>21</v>
      </c>
      <c r="I78" s="6">
        <f>Liquor!$G78/Liquor!$H78</f>
        <v>0.18138801261829654</v>
      </c>
      <c r="J78" s="47">
        <v>0.1</v>
      </c>
      <c r="K78" s="3"/>
      <c r="L78" s="3"/>
      <c r="M78" s="3">
        <f>SUM(Liquor!$J78:$L78)</f>
        <v>0.1</v>
      </c>
      <c r="N78" s="9">
        <f t="shared" si="5"/>
        <v>6.4400000000000013</v>
      </c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2">
      <c r="A79" s="41" t="s">
        <v>58</v>
      </c>
      <c r="B79" s="42">
        <v>25.36</v>
      </c>
      <c r="C79" s="52" t="s">
        <v>106</v>
      </c>
      <c r="D79" s="14" t="s">
        <v>87</v>
      </c>
      <c r="E79" s="36">
        <v>87.89</v>
      </c>
      <c r="F79" s="36">
        <f t="shared" si="6"/>
        <v>3.4656940063091484</v>
      </c>
      <c r="G79" s="36">
        <f>Liquor!$F79*1.5</f>
        <v>5.1985410094637228</v>
      </c>
      <c r="H79" s="45">
        <v>25</v>
      </c>
      <c r="I79" s="16">
        <f>Liquor!$G79/Liquor!$H79</f>
        <v>0.2079416403785489</v>
      </c>
      <c r="J79" s="10"/>
      <c r="K79" s="18"/>
      <c r="L79" s="18"/>
      <c r="M79" s="18">
        <f>SUM(Liquor!$J79:$L79)</f>
        <v>0</v>
      </c>
      <c r="N79" s="36">
        <f t="shared" si="5"/>
        <v>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">
      <c r="A80" s="24" t="s">
        <v>58</v>
      </c>
      <c r="B80" s="4">
        <v>25.36</v>
      </c>
      <c r="C80" s="25" t="s">
        <v>107</v>
      </c>
      <c r="D80" s="25" t="s">
        <v>99</v>
      </c>
      <c r="E80" s="9">
        <v>83.62</v>
      </c>
      <c r="F80" s="9">
        <f t="shared" si="6"/>
        <v>3.2973186119873819</v>
      </c>
      <c r="G80" s="9">
        <f>Liquor!$F80*1.5</f>
        <v>4.9459779179810726</v>
      </c>
      <c r="H80" s="39">
        <v>28</v>
      </c>
      <c r="I80" s="6">
        <f>Liquor!$G80/Liquor!$H80</f>
        <v>0.17664206849932401</v>
      </c>
      <c r="J80" s="47">
        <v>0.6</v>
      </c>
      <c r="K80" s="3"/>
      <c r="L80" s="3"/>
      <c r="M80" s="3">
        <f>SUM(Liquor!$J80:$L80)</f>
        <v>0.6</v>
      </c>
      <c r="N80" s="9">
        <f t="shared" si="5"/>
        <v>50.172000000000004</v>
      </c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2">
      <c r="A81" s="24" t="s">
        <v>58</v>
      </c>
      <c r="B81" s="4">
        <v>25.36</v>
      </c>
      <c r="C81" s="25" t="s">
        <v>108</v>
      </c>
      <c r="D81" s="25" t="s">
        <v>99</v>
      </c>
      <c r="E81" s="9">
        <v>149.91999999999999</v>
      </c>
      <c r="F81" s="9">
        <f t="shared" si="6"/>
        <v>5.9116719242902205</v>
      </c>
      <c r="G81" s="9">
        <f>Liquor!$F81*1.5</f>
        <v>8.8675078864353303</v>
      </c>
      <c r="H81" s="39">
        <v>38</v>
      </c>
      <c r="I81" s="6">
        <f>Liquor!$G81/Liquor!$H81</f>
        <v>0.23335547069566659</v>
      </c>
      <c r="J81" s="47">
        <v>1.1000000000000001</v>
      </c>
      <c r="K81" s="3"/>
      <c r="L81" s="3"/>
      <c r="M81" s="3">
        <f>SUM(Liquor!$J81:$L81)</f>
        <v>1.1000000000000001</v>
      </c>
      <c r="N81" s="9">
        <f t="shared" si="5"/>
        <v>164.91200000000001</v>
      </c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2">
      <c r="A82" s="41" t="s">
        <v>58</v>
      </c>
      <c r="B82" s="42">
        <v>25.36</v>
      </c>
      <c r="C82" s="14" t="s">
        <v>109</v>
      </c>
      <c r="D82" s="14" t="s">
        <v>85</v>
      </c>
      <c r="E82" s="36">
        <v>23.38</v>
      </c>
      <c r="F82" s="36">
        <f t="shared" si="6"/>
        <v>0.92192429022082012</v>
      </c>
      <c r="G82" s="36">
        <f>Liquor!$F82*1.5</f>
        <v>1.3828864353312302</v>
      </c>
      <c r="H82" s="36">
        <v>11</v>
      </c>
      <c r="I82" s="16">
        <f>Liquor!$G82/Liquor!$H82</f>
        <v>0.12571694866647548</v>
      </c>
      <c r="J82" s="10"/>
      <c r="K82" s="18"/>
      <c r="L82" s="18"/>
      <c r="M82" s="18">
        <f>SUM(Liquor!$J82:$L82)</f>
        <v>0</v>
      </c>
      <c r="N82" s="36">
        <f t="shared" si="5"/>
        <v>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24" t="s">
        <v>44</v>
      </c>
      <c r="B83" s="4">
        <v>33.814</v>
      </c>
      <c r="C83" s="25" t="s">
        <v>109</v>
      </c>
      <c r="D83" s="25" t="s">
        <v>85</v>
      </c>
      <c r="E83" s="9">
        <v>28.22</v>
      </c>
      <c r="F83" s="9">
        <f t="shared" si="6"/>
        <v>0.83456556455905839</v>
      </c>
      <c r="G83" s="9">
        <f>Liquor!$F83*1.5</f>
        <v>1.2518483468385875</v>
      </c>
      <c r="H83" s="9">
        <v>11</v>
      </c>
      <c r="I83" s="6">
        <f>Liquor!$G83/Liquor!$H83</f>
        <v>0.11380439516714431</v>
      </c>
      <c r="J83" s="47">
        <v>0.75</v>
      </c>
      <c r="K83" s="3"/>
      <c r="L83" s="3"/>
      <c r="M83" s="3">
        <f>SUM(Liquor!$J83:$L83)</f>
        <v>0.75</v>
      </c>
      <c r="N83" s="9">
        <f t="shared" si="5"/>
        <v>21.164999999999999</v>
      </c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2">
      <c r="A84" s="41" t="s">
        <v>58</v>
      </c>
      <c r="B84" s="42">
        <v>25.36</v>
      </c>
      <c r="C84" s="14" t="s">
        <v>110</v>
      </c>
      <c r="D84" s="14" t="s">
        <v>99</v>
      </c>
      <c r="E84" s="36">
        <v>28.58</v>
      </c>
      <c r="F84" s="36">
        <f t="shared" si="6"/>
        <v>1.1269716088328074</v>
      </c>
      <c r="G84" s="36">
        <f>Liquor!$F84*1.5</f>
        <v>1.6904574132492112</v>
      </c>
      <c r="H84" s="36">
        <v>12</v>
      </c>
      <c r="I84" s="16">
        <f>Liquor!$G84/Liquor!$H84</f>
        <v>0.14087145110410093</v>
      </c>
      <c r="J84" s="10"/>
      <c r="K84" s="18"/>
      <c r="L84" s="18"/>
      <c r="M84" s="18">
        <f>SUM(Liquor!$J84:$L84)</f>
        <v>0</v>
      </c>
      <c r="N84" s="36">
        <f t="shared" si="5"/>
        <v>0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6.5" customHeight="1" x14ac:dyDescent="0.2">
      <c r="A85" s="24" t="s">
        <v>44</v>
      </c>
      <c r="B85" s="4">
        <v>33.814</v>
      </c>
      <c r="C85" s="25" t="s">
        <v>110</v>
      </c>
      <c r="D85" s="25" t="s">
        <v>99</v>
      </c>
      <c r="E85" s="9">
        <v>38.340000000000003</v>
      </c>
      <c r="F85" s="9">
        <f t="shared" si="6"/>
        <v>1.1338498846631573</v>
      </c>
      <c r="G85" s="9">
        <f>Liquor!$F85*1.5</f>
        <v>1.7007748269947358</v>
      </c>
      <c r="H85" s="9">
        <v>11</v>
      </c>
      <c r="I85" s="6">
        <f>Liquor!$G85/Liquor!$H85</f>
        <v>0.15461589336315781</v>
      </c>
      <c r="J85" s="24"/>
      <c r="K85" s="3"/>
      <c r="L85" s="3"/>
      <c r="M85" s="3">
        <f>SUM(Liquor!$J85:$L85)</f>
        <v>0</v>
      </c>
      <c r="N85" s="9">
        <f t="shared" si="5"/>
        <v>0</v>
      </c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x14ac:dyDescent="0.2">
      <c r="A86" s="53" t="s">
        <v>58</v>
      </c>
      <c r="B86" s="54">
        <v>25.36</v>
      </c>
      <c r="C86" s="55" t="s">
        <v>111</v>
      </c>
      <c r="D86" s="55" t="s">
        <v>87</v>
      </c>
      <c r="E86" s="56">
        <v>25.59</v>
      </c>
      <c r="F86" s="9">
        <f t="shared" si="6"/>
        <v>1.0090694006309149</v>
      </c>
      <c r="G86" s="9">
        <f>Liquor!$F86*1.5</f>
        <v>1.5136041009463723</v>
      </c>
      <c r="H86" s="57"/>
      <c r="I86" s="6" t="e">
        <f>Liquor!$G86/Liquor!$H86</f>
        <v>#DIV/0!</v>
      </c>
      <c r="J86" s="58">
        <v>0.5</v>
      </c>
      <c r="K86" s="59"/>
      <c r="L86" s="59"/>
      <c r="M86" s="3">
        <f>SUM(Liquor!$J86:$L86)</f>
        <v>0.5</v>
      </c>
      <c r="N86" s="9">
        <f t="shared" si="5"/>
        <v>12.795</v>
      </c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6.5" customHeight="1" x14ac:dyDescent="0.2">
      <c r="A87" s="53" t="s">
        <v>44</v>
      </c>
      <c r="B87" s="54">
        <v>33.814</v>
      </c>
      <c r="C87" s="55" t="s">
        <v>112</v>
      </c>
      <c r="D87" s="55" t="s">
        <v>91</v>
      </c>
      <c r="E87" s="56">
        <v>39.08</v>
      </c>
      <c r="F87" s="61">
        <f t="shared" si="6"/>
        <v>1.155734311232034</v>
      </c>
      <c r="G87" s="61">
        <f>Liquor!$F87*1.5</f>
        <v>1.7336014668480511</v>
      </c>
      <c r="H87" s="57">
        <v>15</v>
      </c>
      <c r="I87" s="62">
        <f>Liquor!$G87/Liquor!$H87</f>
        <v>0.11557343112320341</v>
      </c>
      <c r="J87" s="58">
        <v>0.8</v>
      </c>
      <c r="K87" s="59"/>
      <c r="L87" s="59"/>
      <c r="M87" s="59">
        <f>SUM(Liquor!$J87:$L87)</f>
        <v>0.8</v>
      </c>
      <c r="N87" s="61">
        <f t="shared" si="5"/>
        <v>31.263999999999999</v>
      </c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.75" customHeight="1" x14ac:dyDescent="0.2">
      <c r="A88" s="24" t="s">
        <v>58</v>
      </c>
      <c r="B88" s="4">
        <v>25.36</v>
      </c>
      <c r="C88" s="25" t="s">
        <v>113</v>
      </c>
      <c r="D88" s="25" t="s">
        <v>87</v>
      </c>
      <c r="E88" s="9">
        <v>29.16</v>
      </c>
      <c r="F88" s="9">
        <f t="shared" si="6"/>
        <v>1.1498422712933754</v>
      </c>
      <c r="G88" s="9">
        <f>Liquor!$F88*1.5</f>
        <v>1.724763406940063</v>
      </c>
      <c r="H88" s="9">
        <v>12</v>
      </c>
      <c r="I88" s="6">
        <f>Liquor!$G88/Liquor!$H88</f>
        <v>0.14373028391167192</v>
      </c>
      <c r="J88" s="24"/>
      <c r="K88" s="3"/>
      <c r="L88" s="3"/>
      <c r="M88" s="3">
        <f>SUM(Liquor!$J88:$L88)</f>
        <v>0</v>
      </c>
      <c r="N88" s="9">
        <f t="shared" si="5"/>
        <v>0</v>
      </c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2">
      <c r="A89" s="24" t="s">
        <v>44</v>
      </c>
      <c r="B89" s="4">
        <v>33.814</v>
      </c>
      <c r="C89" s="25" t="s">
        <v>113</v>
      </c>
      <c r="D89" s="25" t="s">
        <v>87</v>
      </c>
      <c r="E89" s="9">
        <v>31.86</v>
      </c>
      <c r="F89" s="9">
        <f t="shared" si="6"/>
        <v>0.94221328443839825</v>
      </c>
      <c r="G89" s="9">
        <f>Liquor!$F89*1.5</f>
        <v>1.4133199266575973</v>
      </c>
      <c r="H89" s="9">
        <v>12</v>
      </c>
      <c r="I89" s="6">
        <f>Liquor!$G89/Liquor!$H89</f>
        <v>0.11777666055479978</v>
      </c>
      <c r="J89" s="47">
        <v>0.5</v>
      </c>
      <c r="K89" s="3"/>
      <c r="L89" s="3"/>
      <c r="M89" s="3">
        <f>SUM(Liquor!$J89:$L89)</f>
        <v>0.5</v>
      </c>
      <c r="N89" s="9">
        <f t="shared" si="5"/>
        <v>15.93</v>
      </c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2">
      <c r="A90" s="24" t="s">
        <v>58</v>
      </c>
      <c r="B90" s="4">
        <v>25.36</v>
      </c>
      <c r="C90" s="25" t="s">
        <v>114</v>
      </c>
      <c r="D90" s="25" t="s">
        <v>87</v>
      </c>
      <c r="E90" s="9">
        <v>50.37</v>
      </c>
      <c r="F90" s="9">
        <f t="shared" si="6"/>
        <v>1.986198738170347</v>
      </c>
      <c r="G90" s="9">
        <f>Liquor!$F90*1.5</f>
        <v>2.9792981072555205</v>
      </c>
      <c r="H90" s="39">
        <v>18</v>
      </c>
      <c r="I90" s="6">
        <f>Liquor!$G90/Liquor!$H90</f>
        <v>0.16551656151419558</v>
      </c>
      <c r="J90" s="47">
        <v>0.3</v>
      </c>
      <c r="K90" s="3"/>
      <c r="L90" s="3"/>
      <c r="M90" s="3">
        <f>SUM(Liquor!$J90:$L90)</f>
        <v>0.3</v>
      </c>
      <c r="N90" s="9">
        <f t="shared" si="5"/>
        <v>15.110999999999999</v>
      </c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2">
      <c r="A91" s="41" t="s">
        <v>58</v>
      </c>
      <c r="B91" s="42">
        <v>25.36</v>
      </c>
      <c r="C91" s="14" t="s">
        <v>115</v>
      </c>
      <c r="D91" s="14" t="s">
        <v>91</v>
      </c>
      <c r="E91" s="36">
        <v>42.82</v>
      </c>
      <c r="F91" s="36">
        <f t="shared" si="6"/>
        <v>1.6884858044164037</v>
      </c>
      <c r="G91" s="36">
        <f>Liquor!$F91*1.5</f>
        <v>2.5327287066246056</v>
      </c>
      <c r="H91" s="36">
        <v>16</v>
      </c>
      <c r="I91" s="16">
        <f>Liquor!$G91/Liquor!$H91</f>
        <v>0.15829554416403785</v>
      </c>
      <c r="J91" s="63">
        <v>0.4</v>
      </c>
      <c r="K91" s="18"/>
      <c r="L91" s="18"/>
      <c r="M91" s="18">
        <f>SUM(Liquor!$J91:$L91)</f>
        <v>0.4</v>
      </c>
      <c r="N91" s="36">
        <f t="shared" si="5"/>
        <v>17.128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">
      <c r="A92" s="24" t="s">
        <v>58</v>
      </c>
      <c r="B92" s="4">
        <v>25.36</v>
      </c>
      <c r="C92" s="25" t="s">
        <v>116</v>
      </c>
      <c r="D92" s="25" t="s">
        <v>99</v>
      </c>
      <c r="E92" s="9">
        <v>58.59</v>
      </c>
      <c r="F92" s="9">
        <f t="shared" si="6"/>
        <v>2.3103312302839121</v>
      </c>
      <c r="G92" s="9">
        <f>Liquor!$F92*1.5</f>
        <v>3.4654968454258679</v>
      </c>
      <c r="H92" s="39">
        <v>18</v>
      </c>
      <c r="I92" s="6">
        <f>Liquor!$G92/Liquor!$H92</f>
        <v>0.19252760252365933</v>
      </c>
      <c r="J92" s="47">
        <v>0.7</v>
      </c>
      <c r="K92" s="3"/>
      <c r="L92" s="3"/>
      <c r="M92" s="3">
        <f>SUM(Liquor!$J92:$L92)</f>
        <v>0.7</v>
      </c>
      <c r="N92" s="9">
        <f t="shared" si="5"/>
        <v>41.012999999999998</v>
      </c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2">
      <c r="A93" s="24" t="s">
        <v>117</v>
      </c>
      <c r="B93" s="4">
        <v>23.6</v>
      </c>
      <c r="C93" s="25" t="s">
        <v>118</v>
      </c>
      <c r="D93" s="25" t="s">
        <v>87</v>
      </c>
      <c r="E93" s="9">
        <v>47.43</v>
      </c>
      <c r="F93" s="9">
        <f t="shared" si="6"/>
        <v>2.0097457627118644</v>
      </c>
      <c r="G93" s="9">
        <f>Liquor!$F93*1.5</f>
        <v>3.0146186440677969</v>
      </c>
      <c r="H93" s="39">
        <v>23</v>
      </c>
      <c r="I93" s="6">
        <f>Liquor!$G93/Liquor!$H93</f>
        <v>0.13107037582903464</v>
      </c>
      <c r="J93" s="47">
        <v>0.8</v>
      </c>
      <c r="K93" s="3"/>
      <c r="L93" s="3"/>
      <c r="M93" s="3">
        <f>SUM(Liquor!$J93:$L93)</f>
        <v>0.8</v>
      </c>
      <c r="N93" s="9">
        <f t="shared" si="5"/>
        <v>37.944000000000003</v>
      </c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2">
      <c r="A94" s="24" t="s">
        <v>58</v>
      </c>
      <c r="B94" s="4">
        <v>25.36</v>
      </c>
      <c r="C94" s="25" t="s">
        <v>119</v>
      </c>
      <c r="D94" s="25" t="s">
        <v>87</v>
      </c>
      <c r="E94" s="9">
        <v>86.2</v>
      </c>
      <c r="F94" s="9">
        <f t="shared" si="6"/>
        <v>3.3990536277602525</v>
      </c>
      <c r="G94" s="9">
        <f>Liquor!$F94*1.5</f>
        <v>5.0985804416403786</v>
      </c>
      <c r="H94" s="39">
        <v>26</v>
      </c>
      <c r="I94" s="6">
        <f>Liquor!$G94/Liquor!$H94</f>
        <v>0.19609924775539916</v>
      </c>
      <c r="J94" s="47">
        <v>0.75</v>
      </c>
      <c r="K94" s="3"/>
      <c r="L94" s="3"/>
      <c r="M94" s="3">
        <f>SUM(Liquor!$J94:$L94)</f>
        <v>0.75</v>
      </c>
      <c r="N94" s="9">
        <f t="shared" si="5"/>
        <v>64.650000000000006</v>
      </c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">
      <c r="A95" s="24" t="s">
        <v>44</v>
      </c>
      <c r="B95" s="4">
        <v>33.814</v>
      </c>
      <c r="C95" s="25" t="s">
        <v>120</v>
      </c>
      <c r="D95" s="25" t="s">
        <v>91</v>
      </c>
      <c r="E95" s="9">
        <v>25.32</v>
      </c>
      <c r="F95" s="9">
        <f t="shared" si="6"/>
        <v>0.74880227124859522</v>
      </c>
      <c r="G95" s="9">
        <f>Liquor!$F95*1.5</f>
        <v>1.1232034068728929</v>
      </c>
      <c r="H95" s="9">
        <v>12</v>
      </c>
      <c r="I95" s="6">
        <f>Liquor!$G95/Liquor!$H95</f>
        <v>9.3600283906074402E-2</v>
      </c>
      <c r="J95" s="47">
        <v>0.55000000000000004</v>
      </c>
      <c r="K95" s="3"/>
      <c r="L95" s="3"/>
      <c r="M95" s="3">
        <f>SUM(Liquor!$J95:$L95)</f>
        <v>0.55000000000000004</v>
      </c>
      <c r="N95" s="9">
        <f t="shared" si="5"/>
        <v>13.926000000000002</v>
      </c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">
      <c r="A96" s="24" t="s">
        <v>44</v>
      </c>
      <c r="B96" s="4">
        <v>33.814</v>
      </c>
      <c r="C96" s="25" t="s">
        <v>121</v>
      </c>
      <c r="D96" s="25" t="s">
        <v>87</v>
      </c>
      <c r="E96" s="9">
        <v>23.3</v>
      </c>
      <c r="F96" s="9">
        <f t="shared" si="6"/>
        <v>0.68906370142544515</v>
      </c>
      <c r="G96" s="9">
        <f>Liquor!$F96*1.5</f>
        <v>1.0335955521381677</v>
      </c>
      <c r="H96" s="9">
        <v>14</v>
      </c>
      <c r="I96" s="6">
        <f>Liquor!$G96/Liquor!$H96</f>
        <v>7.382825372415483E-2</v>
      </c>
      <c r="J96" s="47">
        <v>0.7</v>
      </c>
      <c r="K96" s="3"/>
      <c r="L96" s="3"/>
      <c r="M96" s="3">
        <f>SUM(Liquor!$J96:$L96)</f>
        <v>0.7</v>
      </c>
      <c r="N96" s="9">
        <f t="shared" si="5"/>
        <v>16.309999999999999</v>
      </c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">
      <c r="A97" s="24" t="s">
        <v>58</v>
      </c>
      <c r="B97" s="4">
        <v>25.36</v>
      </c>
      <c r="C97" s="25" t="s">
        <v>122</v>
      </c>
      <c r="D97" s="25" t="s">
        <v>87</v>
      </c>
      <c r="E97" s="9">
        <v>172.5</v>
      </c>
      <c r="F97" s="9">
        <f t="shared" si="6"/>
        <v>6.80205047318612</v>
      </c>
      <c r="G97" s="9">
        <f>Liquor!$F97*1.5</f>
        <v>10.20307570977918</v>
      </c>
      <c r="H97" s="9">
        <v>38</v>
      </c>
      <c r="I97" s="6">
        <f>Liquor!$G97/Liquor!$H97</f>
        <v>0.26850199236260996</v>
      </c>
      <c r="J97" s="47">
        <v>0.5</v>
      </c>
      <c r="K97" s="3"/>
      <c r="L97" s="3"/>
      <c r="M97" s="3">
        <f>SUM(Liquor!$J97:$L97)</f>
        <v>0.5</v>
      </c>
      <c r="N97" s="9">
        <f t="shared" si="5"/>
        <v>86.25</v>
      </c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">
      <c r="A98" s="24" t="s">
        <v>44</v>
      </c>
      <c r="B98" s="4">
        <v>33.814</v>
      </c>
      <c r="C98" s="25" t="s">
        <v>123</v>
      </c>
      <c r="D98" s="25" t="s">
        <v>99</v>
      </c>
      <c r="E98" s="9">
        <v>37.909999999999997</v>
      </c>
      <c r="F98" s="9">
        <f t="shared" si="6"/>
        <v>1.1211332584136746</v>
      </c>
      <c r="G98" s="9">
        <f>Liquor!$F98*1.5</f>
        <v>1.6816998876205118</v>
      </c>
      <c r="H98" s="9">
        <v>12</v>
      </c>
      <c r="I98" s="6">
        <f>Liquor!$G98/Liquor!$H98</f>
        <v>0.14014165730170933</v>
      </c>
      <c r="J98" s="47">
        <v>0.4</v>
      </c>
      <c r="K98" s="3"/>
      <c r="L98" s="3"/>
      <c r="M98" s="3">
        <f>SUM(Liquor!$J98:$L98)</f>
        <v>0.4</v>
      </c>
      <c r="N98" s="9">
        <f t="shared" si="5"/>
        <v>15.164</v>
      </c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">
      <c r="A99" s="24" t="s">
        <v>58</v>
      </c>
      <c r="B99" s="4">
        <v>25.36</v>
      </c>
      <c r="C99" s="25" t="s">
        <v>124</v>
      </c>
      <c r="D99" s="25" t="s">
        <v>91</v>
      </c>
      <c r="E99" s="39">
        <v>24.14</v>
      </c>
      <c r="F99" s="9">
        <f t="shared" si="6"/>
        <v>0.95189274447949535</v>
      </c>
      <c r="G99" s="9">
        <f>Liquor!$F99*1.5</f>
        <v>1.427839116719243</v>
      </c>
      <c r="H99" s="9">
        <v>12</v>
      </c>
      <c r="I99" s="6">
        <f>Liquor!$G99/Liquor!$H99</f>
        <v>0.11898659305993692</v>
      </c>
      <c r="J99" s="47">
        <v>1</v>
      </c>
      <c r="K99" s="3"/>
      <c r="L99" s="3"/>
      <c r="M99" s="3">
        <f>SUM(Liquor!$J99:$L99)</f>
        <v>1</v>
      </c>
      <c r="N99" s="9">
        <f t="shared" si="5"/>
        <v>24.14</v>
      </c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2">
      <c r="A100" s="24" t="s">
        <v>44</v>
      </c>
      <c r="B100" s="4">
        <v>33.814</v>
      </c>
      <c r="C100" s="25" t="s">
        <v>124</v>
      </c>
      <c r="D100" s="25" t="s">
        <v>91</v>
      </c>
      <c r="E100" s="9">
        <v>29.33</v>
      </c>
      <c r="F100" s="9">
        <f t="shared" si="6"/>
        <v>0.86739220441237352</v>
      </c>
      <c r="G100" s="9">
        <f>Liquor!$F100*1.5</f>
        <v>1.3010883066185603</v>
      </c>
      <c r="H100" s="9">
        <v>12</v>
      </c>
      <c r="I100" s="6">
        <f>Liquor!$G100/Liquor!$H100</f>
        <v>0.10842402555154669</v>
      </c>
      <c r="J100" s="24"/>
      <c r="K100" s="3"/>
      <c r="L100" s="3"/>
      <c r="M100" s="3">
        <f>SUM(Liquor!$J100:$L100)</f>
        <v>0</v>
      </c>
      <c r="N100" s="9">
        <f t="shared" si="5"/>
        <v>0</v>
      </c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2">
      <c r="A101" s="24" t="s">
        <v>58</v>
      </c>
      <c r="B101" s="4">
        <v>25.36</v>
      </c>
      <c r="C101" s="25" t="s">
        <v>125</v>
      </c>
      <c r="D101" s="25" t="s">
        <v>99</v>
      </c>
      <c r="E101" s="9">
        <v>67.790000000000006</v>
      </c>
      <c r="F101" s="9">
        <f t="shared" si="6"/>
        <v>2.6731072555205051</v>
      </c>
      <c r="G101" s="9">
        <f>Liquor!$F101*1.5</f>
        <v>4.0096608832807572</v>
      </c>
      <c r="H101" s="9">
        <v>17</v>
      </c>
      <c r="I101" s="6">
        <f>Liquor!$G101/Liquor!$H101</f>
        <v>0.23586240489886806</v>
      </c>
      <c r="J101" s="47">
        <v>0.2</v>
      </c>
      <c r="K101" s="3"/>
      <c r="L101" s="3"/>
      <c r="M101" s="3">
        <f>SUM(Liquor!$J101:$L101)</f>
        <v>0.2</v>
      </c>
      <c r="N101" s="9">
        <f t="shared" si="5"/>
        <v>13.558000000000002</v>
      </c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2">
      <c r="A102" s="24" t="s">
        <v>58</v>
      </c>
      <c r="B102" s="4">
        <v>25.36</v>
      </c>
      <c r="C102" s="25" t="s">
        <v>126</v>
      </c>
      <c r="D102" s="25" t="s">
        <v>85</v>
      </c>
      <c r="E102" s="9">
        <v>23.95</v>
      </c>
      <c r="F102" s="9">
        <f t="shared" si="6"/>
        <v>0.94440063091482651</v>
      </c>
      <c r="G102" s="9">
        <f>Liquor!$F102*1.5</f>
        <v>1.4166009463722398</v>
      </c>
      <c r="H102" s="9">
        <v>12</v>
      </c>
      <c r="I102" s="6">
        <f>Liquor!$G102/Liquor!$H102</f>
        <v>0.11805007886435331</v>
      </c>
      <c r="J102" s="47">
        <v>1</v>
      </c>
      <c r="K102" s="3"/>
      <c r="L102" s="3"/>
      <c r="M102" s="3">
        <f>SUM(Liquor!$J102:$L102)</f>
        <v>1</v>
      </c>
      <c r="N102" s="9">
        <f t="shared" si="5"/>
        <v>23.95</v>
      </c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2">
      <c r="A103" s="24" t="s">
        <v>58</v>
      </c>
      <c r="B103" s="4">
        <v>25.36</v>
      </c>
      <c r="C103" s="25" t="s">
        <v>127</v>
      </c>
      <c r="D103" s="25" t="s">
        <v>91</v>
      </c>
      <c r="E103" s="9">
        <v>21.83</v>
      </c>
      <c r="F103" s="9">
        <f t="shared" si="6"/>
        <v>0.86080441640378547</v>
      </c>
      <c r="G103" s="9">
        <f>Liquor!$F103*1.5</f>
        <v>1.2912066246056781</v>
      </c>
      <c r="H103" s="9">
        <v>12</v>
      </c>
      <c r="I103" s="6">
        <f>Liquor!$G103/Liquor!$H103</f>
        <v>0.10760055205047318</v>
      </c>
      <c r="J103" s="47">
        <v>0.9</v>
      </c>
      <c r="K103" s="3"/>
      <c r="L103" s="3"/>
      <c r="M103" s="3">
        <f>SUM(Liquor!$J103:$L103)</f>
        <v>0.9</v>
      </c>
      <c r="N103" s="9">
        <f t="shared" si="5"/>
        <v>19.646999999999998</v>
      </c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2">
      <c r="A104" s="24" t="s">
        <v>58</v>
      </c>
      <c r="B104" s="4">
        <v>25.36</v>
      </c>
      <c r="C104" s="25" t="s">
        <v>128</v>
      </c>
      <c r="D104" s="25" t="s">
        <v>87</v>
      </c>
      <c r="E104" s="9">
        <v>26.16</v>
      </c>
      <c r="F104" s="9">
        <f t="shared" si="6"/>
        <v>1.0315457413249212</v>
      </c>
      <c r="G104" s="9">
        <f>Liquor!$F104*1.5</f>
        <v>1.5473186119873819</v>
      </c>
      <c r="H104" s="9">
        <v>12</v>
      </c>
      <c r="I104" s="6">
        <f>Liquor!$G104/Liquor!$H104</f>
        <v>0.12894321766561515</v>
      </c>
      <c r="J104" s="47">
        <v>0.4</v>
      </c>
      <c r="K104" s="3"/>
      <c r="L104" s="3"/>
      <c r="M104" s="3">
        <f>SUM(Liquor!$J104:$L104)</f>
        <v>0.4</v>
      </c>
      <c r="N104" s="9">
        <f t="shared" si="5"/>
        <v>10.464</v>
      </c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2">
      <c r="A105" s="24" t="s">
        <v>58</v>
      </c>
      <c r="B105" s="4">
        <v>25.36</v>
      </c>
      <c r="C105" s="25" t="s">
        <v>129</v>
      </c>
      <c r="D105" s="25" t="s">
        <v>99</v>
      </c>
      <c r="E105" s="9">
        <v>35.29</v>
      </c>
      <c r="F105" s="9">
        <f t="shared" si="6"/>
        <v>1.3915615141955835</v>
      </c>
      <c r="G105" s="9">
        <f>Liquor!$F105*1.5</f>
        <v>2.0873422712933754</v>
      </c>
      <c r="H105" s="9">
        <v>14</v>
      </c>
      <c r="I105" s="6">
        <f>Liquor!$G105/Liquor!$H105</f>
        <v>0.14909587652095538</v>
      </c>
      <c r="J105" s="47">
        <v>0.6</v>
      </c>
      <c r="K105" s="3"/>
      <c r="L105" s="3"/>
      <c r="M105" s="3">
        <f>SUM(Liquor!$J105:$L105)</f>
        <v>0.6</v>
      </c>
      <c r="N105" s="9">
        <f t="shared" si="5"/>
        <v>21.173999999999999</v>
      </c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2">
      <c r="A106" s="24" t="s">
        <v>58</v>
      </c>
      <c r="B106" s="4">
        <v>25.36</v>
      </c>
      <c r="C106" s="25" t="s">
        <v>130</v>
      </c>
      <c r="D106" s="25" t="s">
        <v>99</v>
      </c>
      <c r="E106" s="9">
        <v>42.51</v>
      </c>
      <c r="F106" s="9">
        <f t="shared" si="6"/>
        <v>1.6762618296529967</v>
      </c>
      <c r="G106" s="9">
        <f>Liquor!$F106*1.5</f>
        <v>2.5143927444794949</v>
      </c>
      <c r="H106" s="39">
        <v>16</v>
      </c>
      <c r="I106" s="6">
        <f>Liquor!$G106/Liquor!$H106</f>
        <v>0.15714954652996843</v>
      </c>
      <c r="J106" s="47">
        <v>0.25</v>
      </c>
      <c r="K106" s="3"/>
      <c r="L106" s="3"/>
      <c r="M106" s="3">
        <f>SUM(Liquor!$J106:$L106)</f>
        <v>0.25</v>
      </c>
      <c r="N106" s="9">
        <f t="shared" si="5"/>
        <v>10.6275</v>
      </c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2">
      <c r="A107" s="24" t="s">
        <v>44</v>
      </c>
      <c r="B107" s="4">
        <v>33.814</v>
      </c>
      <c r="C107" s="25" t="s">
        <v>131</v>
      </c>
      <c r="D107" s="25" t="s">
        <v>99</v>
      </c>
      <c r="E107" s="9">
        <v>33.32</v>
      </c>
      <c r="F107" s="9">
        <f t="shared" si="6"/>
        <v>0.98539066658780383</v>
      </c>
      <c r="G107" s="9">
        <f>Liquor!$F107*1.5</f>
        <v>1.4780859998817057</v>
      </c>
      <c r="H107" s="9">
        <v>11</v>
      </c>
      <c r="I107" s="6">
        <f>Liquor!$G107/Liquor!$H107</f>
        <v>0.13437145453470054</v>
      </c>
      <c r="J107" s="47">
        <v>1</v>
      </c>
      <c r="K107" s="3"/>
      <c r="L107" s="3"/>
      <c r="M107" s="3">
        <f>SUM(Liquor!$J107:$L107)</f>
        <v>1</v>
      </c>
      <c r="N107" s="9">
        <f t="shared" si="5"/>
        <v>33.32</v>
      </c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2">
      <c r="A108" s="41" t="s">
        <v>58</v>
      </c>
      <c r="B108" s="42">
        <v>25.36</v>
      </c>
      <c r="C108" s="14" t="s">
        <v>132</v>
      </c>
      <c r="D108" s="14" t="s">
        <v>91</v>
      </c>
      <c r="E108" s="36">
        <v>24.7</v>
      </c>
      <c r="F108" s="36">
        <f t="shared" si="6"/>
        <v>0.97397476340694</v>
      </c>
      <c r="G108" s="36">
        <f>Liquor!$F108*1.5</f>
        <v>1.46096214511041</v>
      </c>
      <c r="H108" s="36">
        <v>12</v>
      </c>
      <c r="I108" s="16">
        <f>Liquor!$G108/Liquor!$H108</f>
        <v>0.1217468454258675</v>
      </c>
      <c r="J108" s="63">
        <v>0.25</v>
      </c>
      <c r="K108" s="18"/>
      <c r="L108" s="18"/>
      <c r="M108" s="18">
        <f>SUM(Liquor!$J108:$L108)</f>
        <v>0.25</v>
      </c>
      <c r="N108" s="36">
        <f t="shared" si="5"/>
        <v>6.1749999999999998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">
      <c r="A109" s="24" t="s">
        <v>58</v>
      </c>
      <c r="B109" s="4">
        <v>25.36</v>
      </c>
      <c r="C109" s="25" t="s">
        <v>133</v>
      </c>
      <c r="D109" s="25" t="s">
        <v>87</v>
      </c>
      <c r="E109" s="39">
        <v>35.31</v>
      </c>
      <c r="F109" s="9">
        <f t="shared" si="6"/>
        <v>1.3923501577287067</v>
      </c>
      <c r="G109" s="9">
        <f>Liquor!$F109*1.5</f>
        <v>2.08852523659306</v>
      </c>
      <c r="H109" s="39">
        <v>13</v>
      </c>
      <c r="I109" s="6">
        <f>Liquor!$G109/Liquor!$H109</f>
        <v>0.1606557874302354</v>
      </c>
      <c r="J109" s="47">
        <v>0.05</v>
      </c>
      <c r="K109" s="3"/>
      <c r="L109" s="3"/>
      <c r="M109" s="30">
        <f>SUM(Liquor!$J109:$L109)</f>
        <v>0.05</v>
      </c>
      <c r="N109" s="9">
        <f t="shared" si="5"/>
        <v>1.7655000000000003</v>
      </c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2">
      <c r="A110" s="24" t="s">
        <v>44</v>
      </c>
      <c r="B110" s="4">
        <v>33.814</v>
      </c>
      <c r="C110" s="25" t="s">
        <v>133</v>
      </c>
      <c r="D110" s="25" t="s">
        <v>87</v>
      </c>
      <c r="E110" s="9">
        <v>35.07</v>
      </c>
      <c r="F110" s="9">
        <f t="shared" si="6"/>
        <v>1.0371443780682557</v>
      </c>
      <c r="G110" s="9">
        <f>Liquor!$F110*1.5</f>
        <v>1.5557165671023836</v>
      </c>
      <c r="H110" s="39">
        <v>13</v>
      </c>
      <c r="I110" s="6">
        <f>Liquor!$G110/Liquor!$H110</f>
        <v>0.11967050516172181</v>
      </c>
      <c r="J110" s="24"/>
      <c r="K110" s="3"/>
      <c r="L110" s="3"/>
      <c r="M110" s="30">
        <f>SUM(Liquor!$J110:$L110)</f>
        <v>0</v>
      </c>
      <c r="N110" s="9">
        <f t="shared" si="5"/>
        <v>0</v>
      </c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2">
      <c r="A111" s="24" t="s">
        <v>58</v>
      </c>
      <c r="B111" s="4">
        <v>25.36</v>
      </c>
      <c r="C111" s="25" t="s">
        <v>134</v>
      </c>
      <c r="D111" s="25" t="s">
        <v>91</v>
      </c>
      <c r="E111" s="9">
        <v>41.14</v>
      </c>
      <c r="F111" s="9">
        <f t="shared" si="6"/>
        <v>1.6222397476340695</v>
      </c>
      <c r="G111" s="9">
        <f>Liquor!$F111*1.5</f>
        <v>2.4333596214511042</v>
      </c>
      <c r="H111" s="39">
        <v>16</v>
      </c>
      <c r="I111" s="6">
        <f>Liquor!$G111/Liquor!$H111</f>
        <v>0.15208497634069401</v>
      </c>
      <c r="J111" s="47">
        <v>0.75</v>
      </c>
      <c r="K111" s="3"/>
      <c r="L111" s="3"/>
      <c r="M111" s="30">
        <f>SUM(Liquor!$J111:$L111)</f>
        <v>0.75</v>
      </c>
      <c r="N111" s="9">
        <f t="shared" si="5"/>
        <v>30.855</v>
      </c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2">
      <c r="A112" s="24" t="s">
        <v>58</v>
      </c>
      <c r="B112" s="4">
        <v>25.36</v>
      </c>
      <c r="C112" s="25" t="s">
        <v>135</v>
      </c>
      <c r="D112" s="25" t="s">
        <v>87</v>
      </c>
      <c r="E112" s="9">
        <v>56.67</v>
      </c>
      <c r="F112" s="9">
        <f t="shared" si="6"/>
        <v>2.2346214511041009</v>
      </c>
      <c r="G112" s="9">
        <f>Liquor!$F112*1.5</f>
        <v>3.3519321766561516</v>
      </c>
      <c r="H112" s="39">
        <v>18</v>
      </c>
      <c r="I112" s="6">
        <f>Liquor!$G112/Liquor!$H112</f>
        <v>0.18621845425867509</v>
      </c>
      <c r="J112" s="47">
        <v>0.7</v>
      </c>
      <c r="K112" s="3"/>
      <c r="L112" s="3"/>
      <c r="M112" s="3">
        <f>SUM(Liquor!$J112:$L112)</f>
        <v>0.7</v>
      </c>
      <c r="N112" s="9">
        <f t="shared" si="5"/>
        <v>39.668999999999997</v>
      </c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2">
      <c r="A113" s="24" t="s">
        <v>58</v>
      </c>
      <c r="B113" s="4">
        <v>25.36</v>
      </c>
      <c r="C113" s="25" t="s">
        <v>136</v>
      </c>
      <c r="D113" s="25" t="s">
        <v>91</v>
      </c>
      <c r="E113" s="9">
        <v>29.78</v>
      </c>
      <c r="F113" s="9">
        <f t="shared" si="6"/>
        <v>1.1742902208201893</v>
      </c>
      <c r="G113" s="9">
        <f>Liquor!$F113*1.5</f>
        <v>1.761435331230284</v>
      </c>
      <c r="H113" s="9">
        <v>13</v>
      </c>
      <c r="I113" s="6">
        <f>Liquor!$G113/Liquor!$H113</f>
        <v>0.1354950254792526</v>
      </c>
      <c r="J113" s="47">
        <v>0.35</v>
      </c>
      <c r="K113" s="3"/>
      <c r="L113" s="3"/>
      <c r="M113" s="3">
        <f>SUM(Liquor!$J113:$L113)</f>
        <v>0.35</v>
      </c>
      <c r="N113" s="9">
        <f t="shared" si="5"/>
        <v>10.423</v>
      </c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2">
      <c r="A114" s="41" t="s">
        <v>58</v>
      </c>
      <c r="B114" s="42">
        <v>25.36</v>
      </c>
      <c r="C114" s="14" t="s">
        <v>137</v>
      </c>
      <c r="D114" s="14" t="s">
        <v>99</v>
      </c>
      <c r="E114" s="36">
        <v>26.99</v>
      </c>
      <c r="F114" s="36">
        <f t="shared" si="6"/>
        <v>1.0642744479495267</v>
      </c>
      <c r="G114" s="36">
        <f>Liquor!$F114*1.5</f>
        <v>1.5964116719242902</v>
      </c>
      <c r="H114" s="36">
        <v>12</v>
      </c>
      <c r="I114" s="16">
        <f>Liquor!$G114/Liquor!$H114</f>
        <v>0.13303430599369084</v>
      </c>
      <c r="J114" s="63"/>
      <c r="K114" s="18"/>
      <c r="L114" s="18"/>
      <c r="M114" s="18">
        <f>SUM(Liquor!$J114:$L114)</f>
        <v>0</v>
      </c>
      <c r="N114" s="36">
        <f t="shared" si="5"/>
        <v>0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24" t="s">
        <v>44</v>
      </c>
      <c r="B115" s="4">
        <v>33.814</v>
      </c>
      <c r="C115" s="25" t="s">
        <v>137</v>
      </c>
      <c r="D115" s="25" t="s">
        <v>99</v>
      </c>
      <c r="E115" s="9">
        <v>31.79</v>
      </c>
      <c r="F115" s="9">
        <f t="shared" si="6"/>
        <v>0.9401431359791802</v>
      </c>
      <c r="G115" s="9">
        <f>Liquor!$F115*1.5</f>
        <v>1.4102147039687702</v>
      </c>
      <c r="H115" s="9">
        <v>12</v>
      </c>
      <c r="I115" s="6">
        <f>Liquor!$G115/Liquor!$H115</f>
        <v>0.11751789199739753</v>
      </c>
      <c r="J115" s="47">
        <v>0.4</v>
      </c>
      <c r="K115" s="3"/>
      <c r="L115" s="3"/>
      <c r="M115" s="3">
        <f>SUM(Liquor!$J115:$L115)</f>
        <v>0.4</v>
      </c>
      <c r="N115" s="9">
        <f t="shared" si="5"/>
        <v>12.716000000000001</v>
      </c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2">
      <c r="A116" s="24" t="s">
        <v>58</v>
      </c>
      <c r="B116" s="4">
        <v>25.36</v>
      </c>
      <c r="C116" s="25" t="s">
        <v>138</v>
      </c>
      <c r="D116" s="25" t="s">
        <v>85</v>
      </c>
      <c r="E116" s="9">
        <v>35.97</v>
      </c>
      <c r="F116" s="9">
        <f t="shared" si="6"/>
        <v>1.4183753943217665</v>
      </c>
      <c r="G116" s="9">
        <f>Liquor!$F116*1.5</f>
        <v>2.1275630914826498</v>
      </c>
      <c r="H116" s="9">
        <v>12</v>
      </c>
      <c r="I116" s="6">
        <f>Liquor!$G116/Liquor!$H116</f>
        <v>0.17729692429022081</v>
      </c>
      <c r="J116" s="47">
        <v>0.75</v>
      </c>
      <c r="K116" s="3"/>
      <c r="L116" s="3"/>
      <c r="M116" s="3">
        <f>SUM(Liquor!$J116:$L116)</f>
        <v>0.75</v>
      </c>
      <c r="N116" s="9">
        <f t="shared" si="5"/>
        <v>26.977499999999999</v>
      </c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2">
      <c r="A117" s="24" t="s">
        <v>58</v>
      </c>
      <c r="B117" s="4">
        <v>25.36</v>
      </c>
      <c r="C117" s="25" t="s">
        <v>139</v>
      </c>
      <c r="D117" s="25" t="s">
        <v>85</v>
      </c>
      <c r="E117" s="9">
        <v>53.35</v>
      </c>
      <c r="F117" s="9">
        <f t="shared" si="6"/>
        <v>2.1037066246056781</v>
      </c>
      <c r="G117" s="9">
        <f>Liquor!$F117*1.5</f>
        <v>3.1555599369085172</v>
      </c>
      <c r="H117" s="9">
        <v>18</v>
      </c>
      <c r="I117" s="6">
        <f>Liquor!$G117/Liquor!$H117</f>
        <v>0.17530888538380651</v>
      </c>
      <c r="J117" s="47">
        <v>0.6</v>
      </c>
      <c r="K117" s="3"/>
      <c r="L117" s="3"/>
      <c r="M117" s="3">
        <f>SUM(Liquor!$J117:$L117)</f>
        <v>0.6</v>
      </c>
      <c r="N117" s="9">
        <f t="shared" si="5"/>
        <v>32.01</v>
      </c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2">
      <c r="A118" s="24" t="s">
        <v>58</v>
      </c>
      <c r="B118" s="4">
        <v>25.36</v>
      </c>
      <c r="C118" s="25" t="s">
        <v>140</v>
      </c>
      <c r="D118" s="25" t="s">
        <v>85</v>
      </c>
      <c r="E118" s="9">
        <v>41.35</v>
      </c>
      <c r="F118" s="9">
        <f t="shared" si="6"/>
        <v>1.6305205047318614</v>
      </c>
      <c r="G118" s="9">
        <f>Liquor!$F118*1.5</f>
        <v>2.4457807570977921</v>
      </c>
      <c r="H118" s="39">
        <v>15</v>
      </c>
      <c r="I118" s="6">
        <f>Liquor!$G118/Liquor!$H118</f>
        <v>0.16305205047318613</v>
      </c>
      <c r="J118" s="47">
        <v>1</v>
      </c>
      <c r="K118" s="3"/>
      <c r="L118" s="3"/>
      <c r="M118" s="3">
        <f>SUM(Liquor!$J118:$L118)</f>
        <v>1</v>
      </c>
      <c r="N118" s="9">
        <f t="shared" si="5"/>
        <v>41.35</v>
      </c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2">
      <c r="A119" s="24" t="s">
        <v>58</v>
      </c>
      <c r="B119" s="4">
        <v>25.36</v>
      </c>
      <c r="C119" s="25" t="s">
        <v>141</v>
      </c>
      <c r="D119" s="25" t="s">
        <v>87</v>
      </c>
      <c r="E119" s="9">
        <v>34.4</v>
      </c>
      <c r="F119" s="9">
        <f t="shared" si="6"/>
        <v>1.3564668769716088</v>
      </c>
      <c r="G119" s="9">
        <f>Liquor!$F119*1.5</f>
        <v>2.034700315457413</v>
      </c>
      <c r="H119" s="9">
        <v>14</v>
      </c>
      <c r="I119" s="6">
        <f>Liquor!$G119/Liquor!$H119</f>
        <v>0.14533573681838666</v>
      </c>
      <c r="J119" s="24"/>
      <c r="K119" s="3"/>
      <c r="L119" s="3"/>
      <c r="M119" s="3">
        <f>SUM(Liquor!$J119:$L119)</f>
        <v>0</v>
      </c>
      <c r="N119" s="9">
        <f t="shared" si="5"/>
        <v>0</v>
      </c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2">
      <c r="A120" s="34" t="s">
        <v>44</v>
      </c>
      <c r="B120" s="35">
        <v>33.814</v>
      </c>
      <c r="C120" s="49" t="s">
        <v>141</v>
      </c>
      <c r="D120" s="14" t="s">
        <v>87</v>
      </c>
      <c r="E120" s="36">
        <v>38.39</v>
      </c>
      <c r="F120" s="36">
        <f t="shared" si="6"/>
        <v>1.1353285621340274</v>
      </c>
      <c r="G120" s="36">
        <f>Liquor!$F120*1.5</f>
        <v>1.7029928432010411</v>
      </c>
      <c r="H120" s="36">
        <v>14</v>
      </c>
      <c r="I120" s="16">
        <f>Liquor!$G120/Liquor!$H120</f>
        <v>0.12164234594293151</v>
      </c>
      <c r="J120" s="63">
        <v>0.45</v>
      </c>
      <c r="K120" s="18"/>
      <c r="L120" s="18"/>
      <c r="M120" s="18">
        <f>SUM(Liquor!$J120:$L120)</f>
        <v>0.45</v>
      </c>
      <c r="N120" s="36">
        <f t="shared" si="5"/>
        <v>17.275500000000001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">
      <c r="A121" s="24" t="s">
        <v>58</v>
      </c>
      <c r="B121" s="4">
        <v>25.36</v>
      </c>
      <c r="C121" s="25" t="s">
        <v>142</v>
      </c>
      <c r="D121" s="25" t="s">
        <v>91</v>
      </c>
      <c r="E121" s="9">
        <v>32.630000000000003</v>
      </c>
      <c r="F121" s="9">
        <f t="shared" si="6"/>
        <v>1.2866719242902209</v>
      </c>
      <c r="G121" s="9">
        <f>Liquor!$F121*1.5</f>
        <v>1.9300078864353314</v>
      </c>
      <c r="H121" s="9">
        <v>16</v>
      </c>
      <c r="I121" s="6">
        <f>Liquor!$G121/Liquor!$H121</f>
        <v>0.12062549290220821</v>
      </c>
      <c r="J121" s="47">
        <v>0.25</v>
      </c>
      <c r="K121" s="3"/>
      <c r="L121" s="3"/>
      <c r="M121" s="3">
        <f>SUM(Liquor!$J121:$L121)</f>
        <v>0.25</v>
      </c>
      <c r="N121" s="9">
        <f t="shared" si="5"/>
        <v>8.1575000000000006</v>
      </c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2">
      <c r="A122" s="24" t="s">
        <v>58</v>
      </c>
      <c r="B122" s="4">
        <v>25.36</v>
      </c>
      <c r="C122" s="25" t="s">
        <v>143</v>
      </c>
      <c r="D122" s="25" t="s">
        <v>91</v>
      </c>
      <c r="E122" s="9">
        <v>77.59</v>
      </c>
      <c r="F122" s="9">
        <f t="shared" si="6"/>
        <v>3.0595425867507888</v>
      </c>
      <c r="G122" s="9">
        <f>Liquor!$F122*1.5</f>
        <v>4.5893138801261832</v>
      </c>
      <c r="H122" s="9">
        <v>22</v>
      </c>
      <c r="I122" s="6">
        <f>Liquor!$G122/Liquor!$H122</f>
        <v>0.20860517636937195</v>
      </c>
      <c r="J122" s="47">
        <v>0.95</v>
      </c>
      <c r="K122" s="3"/>
      <c r="L122" s="3"/>
      <c r="M122" s="3">
        <f>SUM(Liquor!$J122:$L122)</f>
        <v>0.95</v>
      </c>
      <c r="N122" s="9">
        <f t="shared" si="5"/>
        <v>73.710499999999996</v>
      </c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2">
      <c r="A123" s="41" t="s">
        <v>58</v>
      </c>
      <c r="B123" s="42">
        <v>25.36</v>
      </c>
      <c r="C123" s="14" t="s">
        <v>144</v>
      </c>
      <c r="D123" s="14" t="s">
        <v>91</v>
      </c>
      <c r="E123" s="36">
        <v>22.41</v>
      </c>
      <c r="F123" s="36">
        <f t="shared" si="6"/>
        <v>0.88367507886435337</v>
      </c>
      <c r="G123" s="36">
        <f>Liquor!$F123*1.5</f>
        <v>1.32551261829653</v>
      </c>
      <c r="H123" s="36">
        <v>13</v>
      </c>
      <c r="I123" s="16">
        <f>Liquor!$G123/Liquor!$H123</f>
        <v>0.10196250909973308</v>
      </c>
      <c r="J123" s="63">
        <v>0.65</v>
      </c>
      <c r="K123" s="18"/>
      <c r="L123" s="18"/>
      <c r="M123" s="18">
        <f>SUM(Liquor!$J123:$L123)</f>
        <v>0.65</v>
      </c>
      <c r="N123" s="36">
        <f t="shared" si="5"/>
        <v>14.566500000000001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24" t="s">
        <v>44</v>
      </c>
      <c r="B124" s="4">
        <v>33.814</v>
      </c>
      <c r="C124" s="25" t="s">
        <v>144</v>
      </c>
      <c r="D124" s="25" t="s">
        <v>91</v>
      </c>
      <c r="E124" s="9">
        <v>29.67</v>
      </c>
      <c r="F124" s="9">
        <f t="shared" si="6"/>
        <v>0.87744721121429003</v>
      </c>
      <c r="G124" s="9">
        <f>Liquor!$F124*1.5</f>
        <v>1.316170816821435</v>
      </c>
      <c r="H124" s="9">
        <v>13</v>
      </c>
      <c r="I124" s="6">
        <f>Liquor!$G124/Liquor!$H124</f>
        <v>0.10124390898626423</v>
      </c>
      <c r="J124" s="24"/>
      <c r="K124" s="3"/>
      <c r="L124" s="3"/>
      <c r="M124" s="3">
        <f>SUM(Liquor!$J124:$L124)</f>
        <v>0</v>
      </c>
      <c r="N124" s="9">
        <f t="shared" si="5"/>
        <v>0</v>
      </c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2">
      <c r="A125" s="24" t="s">
        <v>58</v>
      </c>
      <c r="B125" s="4">
        <v>25.36</v>
      </c>
      <c r="C125" s="25" t="s">
        <v>145</v>
      </c>
      <c r="D125" s="25" t="s">
        <v>87</v>
      </c>
      <c r="E125" s="9">
        <v>39</v>
      </c>
      <c r="F125" s="9">
        <f t="shared" si="6"/>
        <v>1.5378548895899053</v>
      </c>
      <c r="G125" s="9">
        <f>Liquor!$F125*1.5</f>
        <v>2.3067823343848581</v>
      </c>
      <c r="H125" s="9">
        <v>17</v>
      </c>
      <c r="I125" s="6">
        <f>Liquor!$G125/Liquor!$H125</f>
        <v>0.13569307849322695</v>
      </c>
      <c r="J125" s="24"/>
      <c r="K125" s="3"/>
      <c r="L125" s="3"/>
      <c r="M125" s="3">
        <f>SUM(Liquor!$J125:$L125)</f>
        <v>0</v>
      </c>
      <c r="N125" s="9">
        <f t="shared" si="5"/>
        <v>0</v>
      </c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2">
      <c r="A126" s="24" t="s">
        <v>44</v>
      </c>
      <c r="B126" s="4">
        <v>33.814</v>
      </c>
      <c r="C126" s="25" t="s">
        <v>145</v>
      </c>
      <c r="D126" s="25" t="s">
        <v>87</v>
      </c>
      <c r="E126" s="9">
        <v>30.45</v>
      </c>
      <c r="F126" s="9">
        <f t="shared" si="6"/>
        <v>0.90051457975986271</v>
      </c>
      <c r="G126" s="9">
        <f>Liquor!$F126*1.5</f>
        <v>1.3507718696397941</v>
      </c>
      <c r="H126" s="39">
        <v>17</v>
      </c>
      <c r="I126" s="6">
        <f>Liquor!$G126/Liquor!$H126</f>
        <v>7.9457168802340827E-2</v>
      </c>
      <c r="J126" s="47">
        <v>1</v>
      </c>
      <c r="K126" s="3"/>
      <c r="L126" s="3"/>
      <c r="M126" s="3">
        <f>SUM(Liquor!$J126:$L126)</f>
        <v>1</v>
      </c>
      <c r="N126" s="9">
        <f t="shared" si="5"/>
        <v>30.45</v>
      </c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2">
      <c r="A127" s="24" t="s">
        <v>44</v>
      </c>
      <c r="B127" s="4">
        <v>33.814</v>
      </c>
      <c r="C127" s="52" t="s">
        <v>146</v>
      </c>
      <c r="D127" s="25" t="s">
        <v>147</v>
      </c>
      <c r="E127" s="9">
        <v>21.2</v>
      </c>
      <c r="F127" s="9">
        <f t="shared" si="6"/>
        <v>0.62695924764890276</v>
      </c>
      <c r="G127" s="9">
        <f>Liquor!$F127*1.5</f>
        <v>0.94043887147335414</v>
      </c>
      <c r="H127" s="39">
        <v>12</v>
      </c>
      <c r="I127" s="6">
        <f>Liquor!$G127/Liquor!$H127</f>
        <v>7.8369905956112845E-2</v>
      </c>
      <c r="J127" s="24"/>
      <c r="K127" s="3"/>
      <c r="L127" s="3"/>
      <c r="M127" s="3">
        <f>SUM(Liquor!$J127:$L127)</f>
        <v>0</v>
      </c>
      <c r="N127" s="9">
        <f t="shared" si="5"/>
        <v>0</v>
      </c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2">
      <c r="A128" s="24" t="s">
        <v>58</v>
      </c>
      <c r="B128" s="4">
        <v>25.36</v>
      </c>
      <c r="C128" s="25" t="s">
        <v>148</v>
      </c>
      <c r="D128" s="25" t="s">
        <v>149</v>
      </c>
      <c r="E128" s="9">
        <v>48.95</v>
      </c>
      <c r="F128" s="9">
        <f t="shared" si="6"/>
        <v>1.9302050473186121</v>
      </c>
      <c r="G128" s="9">
        <f>Liquor!$F128*1.5</f>
        <v>2.8953075709779181</v>
      </c>
      <c r="H128" s="39">
        <v>15</v>
      </c>
      <c r="I128" s="6">
        <f>Liquor!$G128/Liquor!$H128</f>
        <v>0.19302050473186122</v>
      </c>
      <c r="J128" s="47">
        <v>0.4</v>
      </c>
      <c r="K128" s="3"/>
      <c r="L128" s="3"/>
      <c r="M128" s="30">
        <f>SUM(Liquor!$J128:$L128)+$I426</f>
        <v>0.4</v>
      </c>
      <c r="N128" s="9">
        <f t="shared" si="5"/>
        <v>19.580000000000002</v>
      </c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2">
      <c r="A129" s="24" t="s">
        <v>58</v>
      </c>
      <c r="B129" s="4">
        <v>25.36</v>
      </c>
      <c r="C129" s="25" t="s">
        <v>150</v>
      </c>
      <c r="D129" s="25" t="s">
        <v>147</v>
      </c>
      <c r="E129" s="9">
        <v>24.38</v>
      </c>
      <c r="F129" s="9">
        <f t="shared" si="6"/>
        <v>0.96135646687697163</v>
      </c>
      <c r="G129" s="9">
        <f>Liquor!$F129*1.5</f>
        <v>1.4420347003154574</v>
      </c>
      <c r="H129" s="9">
        <v>12</v>
      </c>
      <c r="I129" s="6">
        <f>Liquor!$G129/Liquor!$H129</f>
        <v>0.12016955835962145</v>
      </c>
      <c r="J129" s="47">
        <v>0.75</v>
      </c>
      <c r="K129" s="3"/>
      <c r="L129" s="3"/>
      <c r="M129" s="30">
        <f>SUM(Liquor!$J129:$L129)</f>
        <v>0.75</v>
      </c>
      <c r="N129" s="9">
        <f t="shared" si="5"/>
        <v>18.285</v>
      </c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2">
      <c r="A130" s="41" t="s">
        <v>58</v>
      </c>
      <c r="B130" s="42">
        <v>25.36</v>
      </c>
      <c r="C130" s="14" t="s">
        <v>151</v>
      </c>
      <c r="D130" s="14" t="s">
        <v>147</v>
      </c>
      <c r="E130" s="36">
        <v>31.99</v>
      </c>
      <c r="F130" s="36">
        <f t="shared" si="6"/>
        <v>1.261435331230284</v>
      </c>
      <c r="G130" s="36">
        <f>Liquor!$F130*1.5</f>
        <v>1.892152996845426</v>
      </c>
      <c r="H130" s="36">
        <v>12</v>
      </c>
      <c r="I130" s="16">
        <f>Liquor!$G130/Liquor!$H130</f>
        <v>0.15767941640378549</v>
      </c>
      <c r="J130" s="10"/>
      <c r="K130" s="18"/>
      <c r="L130" s="18"/>
      <c r="M130" s="18">
        <f>SUM(Liquor!$J130:$L130)</f>
        <v>0</v>
      </c>
      <c r="N130" s="36">
        <f t="shared" si="5"/>
        <v>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">
      <c r="A131" s="24" t="s">
        <v>58</v>
      </c>
      <c r="B131" s="4">
        <v>25.36</v>
      </c>
      <c r="C131" s="25" t="s">
        <v>152</v>
      </c>
      <c r="D131" s="25" t="s">
        <v>149</v>
      </c>
      <c r="E131" s="9">
        <v>49.41</v>
      </c>
      <c r="F131" s="9">
        <f t="shared" si="6"/>
        <v>1.9483438485804416</v>
      </c>
      <c r="G131" s="9">
        <f>Liquor!$F131*1.5</f>
        <v>2.9225157728706623</v>
      </c>
      <c r="H131" s="39">
        <v>15</v>
      </c>
      <c r="I131" s="6">
        <f>Liquor!$G131/Liquor!$H131</f>
        <v>0.19483438485804416</v>
      </c>
      <c r="J131" s="47">
        <v>0.6</v>
      </c>
      <c r="K131" s="3"/>
      <c r="L131" s="3"/>
      <c r="M131" s="3">
        <f>SUM(Liquor!$J131:$L131)</f>
        <v>0.6</v>
      </c>
      <c r="N131" s="9">
        <f t="shared" si="5"/>
        <v>29.645999999999997</v>
      </c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2">
      <c r="A132" s="24" t="s">
        <v>44</v>
      </c>
      <c r="B132" s="4">
        <v>33.814</v>
      </c>
      <c r="C132" s="25" t="s">
        <v>153</v>
      </c>
      <c r="D132" s="25" t="s">
        <v>149</v>
      </c>
      <c r="E132" s="9">
        <v>47.68</v>
      </c>
      <c r="F132" s="9">
        <f t="shared" si="6"/>
        <v>1.4100668362216833</v>
      </c>
      <c r="G132" s="9">
        <f>Liquor!$F132*1.5</f>
        <v>2.1151002543325248</v>
      </c>
      <c r="H132" s="39">
        <v>15</v>
      </c>
      <c r="I132" s="6">
        <f>Liquor!$G132/Liquor!$H132</f>
        <v>0.14100668362216831</v>
      </c>
      <c r="J132" s="47">
        <v>0.55000000000000004</v>
      </c>
      <c r="K132" s="3"/>
      <c r="L132" s="3"/>
      <c r="M132" s="3">
        <f>SUM(Liquor!$J132:$L132)</f>
        <v>0.55000000000000004</v>
      </c>
      <c r="N132" s="9">
        <f t="shared" si="5"/>
        <v>26.224</v>
      </c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2">
      <c r="A133" s="41" t="s">
        <v>58</v>
      </c>
      <c r="B133" s="42">
        <v>25.36</v>
      </c>
      <c r="C133" s="64" t="s">
        <v>154</v>
      </c>
      <c r="D133" s="14" t="s">
        <v>149</v>
      </c>
      <c r="E133" s="36">
        <v>45.48</v>
      </c>
      <c r="F133" s="9">
        <f t="shared" si="6"/>
        <v>1.7933753943217665</v>
      </c>
      <c r="G133" s="9">
        <f>Liquor!$F133*1.5</f>
        <v>2.6900630914826498</v>
      </c>
      <c r="H133" s="45">
        <v>15</v>
      </c>
      <c r="I133" s="6">
        <f>Liquor!$G133/Liquor!$H133</f>
        <v>0.17933753943217665</v>
      </c>
      <c r="J133" s="46">
        <v>1</v>
      </c>
      <c r="K133" s="18"/>
      <c r="L133" s="18"/>
      <c r="M133" s="3">
        <f>SUM(Liquor!$J133:$L133)</f>
        <v>1</v>
      </c>
      <c r="N133" s="9">
        <f t="shared" si="5"/>
        <v>45.48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">
      <c r="A134" s="41" t="s">
        <v>58</v>
      </c>
      <c r="B134" s="42">
        <v>25.36</v>
      </c>
      <c r="C134" s="14" t="s">
        <v>155</v>
      </c>
      <c r="D134" s="14" t="s">
        <v>156</v>
      </c>
      <c r="E134" s="36">
        <v>49.68</v>
      </c>
      <c r="F134" s="36">
        <f t="shared" si="6"/>
        <v>1.9589905362776026</v>
      </c>
      <c r="G134" s="36">
        <f>Liquor!$F134*1.5</f>
        <v>2.9384858044164037</v>
      </c>
      <c r="H134" s="45">
        <v>17</v>
      </c>
      <c r="I134" s="16">
        <f>Liquor!$G134/Liquor!$H134</f>
        <v>0.17285210614214139</v>
      </c>
      <c r="J134" s="46">
        <v>0.4</v>
      </c>
      <c r="K134" s="18"/>
      <c r="L134" s="18"/>
      <c r="M134" s="18">
        <f>SUM(Liquor!$J134:$L134)</f>
        <v>0.4</v>
      </c>
      <c r="N134" s="36">
        <f t="shared" si="5"/>
        <v>19.872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">
      <c r="A135" s="24" t="s">
        <v>44</v>
      </c>
      <c r="B135" s="4">
        <v>33.814</v>
      </c>
      <c r="C135" s="25" t="s">
        <v>157</v>
      </c>
      <c r="D135" s="25" t="s">
        <v>156</v>
      </c>
      <c r="E135" s="9">
        <v>24.34</v>
      </c>
      <c r="F135" s="9">
        <f t="shared" si="6"/>
        <v>0.71982019281954224</v>
      </c>
      <c r="G135" s="9">
        <f>Liquor!$F135*1.5</f>
        <v>1.0797302892293135</v>
      </c>
      <c r="H135" s="9">
        <v>12</v>
      </c>
      <c r="I135" s="6">
        <f>Liquor!$G135/Liquor!$H135</f>
        <v>8.9977524102442794E-2</v>
      </c>
      <c r="J135" s="24"/>
      <c r="K135" s="3"/>
      <c r="L135" s="3"/>
      <c r="M135" s="30">
        <f>SUM(Liquor!$J135:$L135)+$J445</f>
        <v>0</v>
      </c>
      <c r="N135" s="9">
        <f t="shared" si="5"/>
        <v>0</v>
      </c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2">
      <c r="A136" s="24" t="s">
        <v>58</v>
      </c>
      <c r="B136" s="4">
        <v>25.36</v>
      </c>
      <c r="C136" s="25" t="s">
        <v>158</v>
      </c>
      <c r="D136" s="25" t="s">
        <v>156</v>
      </c>
      <c r="E136" s="9">
        <v>24.57</v>
      </c>
      <c r="F136" s="9">
        <f t="shared" si="6"/>
        <v>0.96884858044164046</v>
      </c>
      <c r="G136" s="9">
        <f>Liquor!$F136*1.5</f>
        <v>1.4532728706624607</v>
      </c>
      <c r="H136" s="9">
        <v>14</v>
      </c>
      <c r="I136" s="6">
        <f>Liquor!$G136/Liquor!$H136</f>
        <v>0.10380520504731862</v>
      </c>
      <c r="J136" s="24"/>
      <c r="K136" s="3"/>
      <c r="L136" s="3"/>
      <c r="M136" s="3">
        <f>SUM(Liquor!$J136:$L136)</f>
        <v>0</v>
      </c>
      <c r="N136" s="9">
        <f t="shared" si="5"/>
        <v>0</v>
      </c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2">
      <c r="A137" s="34" t="s">
        <v>44</v>
      </c>
      <c r="B137" s="35">
        <v>33.814</v>
      </c>
      <c r="C137" s="14" t="s">
        <v>158</v>
      </c>
      <c r="D137" s="14" t="s">
        <v>156</v>
      </c>
      <c r="E137" s="36">
        <v>30.17</v>
      </c>
      <c r="F137" s="36">
        <f t="shared" si="6"/>
        <v>0.89223398592299052</v>
      </c>
      <c r="G137" s="36">
        <f>Liquor!$F137*1.5</f>
        <v>1.3383509788844858</v>
      </c>
      <c r="H137" s="36">
        <v>14</v>
      </c>
      <c r="I137" s="16">
        <f>Liquor!$G137/Liquor!$H137</f>
        <v>9.5596498491748991E-2</v>
      </c>
      <c r="J137" s="46">
        <v>0.5</v>
      </c>
      <c r="K137" s="18"/>
      <c r="L137" s="18"/>
      <c r="M137" s="38">
        <f>SUM(Liquor!$J137:$L137)+$J456</f>
        <v>0.5</v>
      </c>
      <c r="N137" s="36">
        <f t="shared" si="5"/>
        <v>15.085000000000001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">
      <c r="A138" s="24" t="s">
        <v>58</v>
      </c>
      <c r="B138" s="4">
        <v>25.36</v>
      </c>
      <c r="C138" s="25" t="s">
        <v>159</v>
      </c>
      <c r="D138" s="25" t="s">
        <v>156</v>
      </c>
      <c r="E138" s="9">
        <v>37.909999999999997</v>
      </c>
      <c r="F138" s="9">
        <f t="shared" si="6"/>
        <v>1.4948738170347002</v>
      </c>
      <c r="G138" s="9">
        <f>Liquor!$F138*1.5</f>
        <v>2.2423107255520502</v>
      </c>
      <c r="H138" s="39">
        <v>16</v>
      </c>
      <c r="I138" s="6">
        <f>Liquor!$G138/Liquor!$H138</f>
        <v>0.14014442034700314</v>
      </c>
      <c r="J138" s="24"/>
      <c r="K138" s="3"/>
      <c r="L138" s="3"/>
      <c r="M138" s="3">
        <f>SUM(Liquor!$J138:$L138)</f>
        <v>0</v>
      </c>
      <c r="N138" s="9">
        <f t="shared" si="5"/>
        <v>0</v>
      </c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2">
      <c r="A139" s="34" t="s">
        <v>44</v>
      </c>
      <c r="B139" s="35">
        <v>33.814</v>
      </c>
      <c r="C139" s="14" t="s">
        <v>159</v>
      </c>
      <c r="D139" s="14" t="s">
        <v>156</v>
      </c>
      <c r="E139" s="36">
        <v>44.53</v>
      </c>
      <c r="F139" s="36">
        <f t="shared" si="6"/>
        <v>1.3169101555568701</v>
      </c>
      <c r="G139" s="36">
        <f>Liquor!$F139*1.5</f>
        <v>1.9753652333353051</v>
      </c>
      <c r="H139" s="45">
        <v>16</v>
      </c>
      <c r="I139" s="16">
        <f>Liquor!$G139/Liquor!$H139</f>
        <v>0.12346032708345657</v>
      </c>
      <c r="J139" s="46">
        <v>0.15</v>
      </c>
      <c r="K139" s="18"/>
      <c r="L139" s="18"/>
      <c r="M139" s="18">
        <f>SUM(Liquor!$J139:$L139)</f>
        <v>0.15</v>
      </c>
      <c r="N139" s="36">
        <f t="shared" si="5"/>
        <v>6.6795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">
      <c r="A140" s="24" t="s">
        <v>58</v>
      </c>
      <c r="B140" s="4">
        <v>25.36</v>
      </c>
      <c r="C140" s="25" t="s">
        <v>160</v>
      </c>
      <c r="D140" s="25" t="s">
        <v>156</v>
      </c>
      <c r="E140" s="9">
        <v>33.770000000000003</v>
      </c>
      <c r="F140" s="9">
        <f t="shared" si="6"/>
        <v>1.3316246056782335</v>
      </c>
      <c r="G140" s="9">
        <f>Liquor!$F140*1.5</f>
        <v>1.9974369085173502</v>
      </c>
      <c r="H140" s="9">
        <v>14</v>
      </c>
      <c r="I140" s="6">
        <f>Liquor!$G140/Liquor!$H140</f>
        <v>0.14267406489409645</v>
      </c>
      <c r="J140" s="47">
        <v>0.55000000000000004</v>
      </c>
      <c r="K140" s="3"/>
      <c r="L140" s="3"/>
      <c r="M140" s="3">
        <f>SUM(Liquor!$J140:$L140)</f>
        <v>0.55000000000000004</v>
      </c>
      <c r="N140" s="9">
        <f t="shared" si="5"/>
        <v>18.573500000000003</v>
      </c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2">
      <c r="A141" s="24" t="s">
        <v>58</v>
      </c>
      <c r="B141" s="4">
        <v>25.36</v>
      </c>
      <c r="C141" s="51" t="s">
        <v>161</v>
      </c>
      <c r="D141" s="25" t="s">
        <v>156</v>
      </c>
      <c r="E141" s="9">
        <v>31.44</v>
      </c>
      <c r="F141" s="9">
        <f t="shared" si="6"/>
        <v>1.2397476340694007</v>
      </c>
      <c r="G141" s="9">
        <f>Liquor!$F141*1.5</f>
        <v>1.8596214511041009</v>
      </c>
      <c r="H141" s="9">
        <v>13</v>
      </c>
      <c r="I141" s="6">
        <f>Liquor!$G141/Liquor!$H141</f>
        <v>0.14304780393108468</v>
      </c>
      <c r="J141" s="47">
        <v>0.85</v>
      </c>
      <c r="K141" s="3"/>
      <c r="L141" s="3"/>
      <c r="M141" s="30">
        <f>SUM(Liquor!$J141:$L141)+$I418</f>
        <v>0.85</v>
      </c>
      <c r="N141" s="9">
        <f t="shared" si="5"/>
        <v>26.724</v>
      </c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2">
      <c r="A142" s="24" t="s">
        <v>58</v>
      </c>
      <c r="B142" s="4">
        <v>25.36</v>
      </c>
      <c r="C142" s="25" t="s">
        <v>162</v>
      </c>
      <c r="D142" s="25" t="s">
        <v>156</v>
      </c>
      <c r="E142" s="9">
        <v>34.47</v>
      </c>
      <c r="F142" s="9">
        <f t="shared" si="6"/>
        <v>1.3592271293375393</v>
      </c>
      <c r="G142" s="9">
        <f>Liquor!$F142*1.5</f>
        <v>2.0388406940063089</v>
      </c>
      <c r="H142" s="9">
        <v>14</v>
      </c>
      <c r="I142" s="6">
        <f>Liquor!$G142/Liquor!$H142</f>
        <v>0.14563147814330776</v>
      </c>
      <c r="J142" s="47">
        <v>0.4</v>
      </c>
      <c r="K142" s="3"/>
      <c r="L142" s="3"/>
      <c r="M142" s="3">
        <f>SUM(Liquor!$J142:$L142)</f>
        <v>0.4</v>
      </c>
      <c r="N142" s="9">
        <f t="shared" si="5"/>
        <v>13.788</v>
      </c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2">
      <c r="A143" s="41" t="s">
        <v>58</v>
      </c>
      <c r="B143" s="42">
        <v>25.36</v>
      </c>
      <c r="C143" s="14" t="s">
        <v>163</v>
      </c>
      <c r="D143" s="14" t="s">
        <v>156</v>
      </c>
      <c r="E143" s="36">
        <v>37.909999999999997</v>
      </c>
      <c r="F143" s="36">
        <f t="shared" si="6"/>
        <v>1.4948738170347002</v>
      </c>
      <c r="G143" s="36">
        <f>Liquor!$F143*1.5</f>
        <v>2.2423107255520502</v>
      </c>
      <c r="H143" s="36">
        <v>14</v>
      </c>
      <c r="I143" s="16">
        <f>Liquor!$G143/Liquor!$H143</f>
        <v>0.16016505182514645</v>
      </c>
      <c r="J143" s="63">
        <v>0.85</v>
      </c>
      <c r="K143" s="18"/>
      <c r="L143" s="18"/>
      <c r="M143" s="18">
        <f>SUM(Liquor!$J143:$L143)</f>
        <v>0.85</v>
      </c>
      <c r="N143" s="36">
        <f t="shared" si="5"/>
        <v>32.223499999999994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">
      <c r="A144" s="24" t="s">
        <v>58</v>
      </c>
      <c r="B144" s="4">
        <v>25.36</v>
      </c>
      <c r="C144" s="25" t="s">
        <v>164</v>
      </c>
      <c r="D144" s="25" t="s">
        <v>156</v>
      </c>
      <c r="E144" s="9">
        <v>22.41</v>
      </c>
      <c r="F144" s="9">
        <f t="shared" si="6"/>
        <v>0.88367507886435337</v>
      </c>
      <c r="G144" s="9">
        <f>Liquor!$F144*1.5</f>
        <v>1.32551261829653</v>
      </c>
      <c r="H144" s="9">
        <v>11</v>
      </c>
      <c r="I144" s="6">
        <f>Liquor!$G144/Liquor!$H144</f>
        <v>0.12050114711786636</v>
      </c>
      <c r="J144" s="24"/>
      <c r="K144" s="3"/>
      <c r="L144" s="3"/>
      <c r="M144" s="3">
        <f>SUM(Liquor!$J144:$L144)</f>
        <v>0</v>
      </c>
      <c r="N144" s="9">
        <f t="shared" si="5"/>
        <v>0</v>
      </c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2">
      <c r="A145" s="24" t="s">
        <v>44</v>
      </c>
      <c r="B145" s="4">
        <v>33.814</v>
      </c>
      <c r="C145" s="25" t="s">
        <v>164</v>
      </c>
      <c r="D145" s="25" t="s">
        <v>156</v>
      </c>
      <c r="E145" s="9">
        <v>24.61</v>
      </c>
      <c r="F145" s="9">
        <f t="shared" si="6"/>
        <v>0.72780505116224048</v>
      </c>
      <c r="G145" s="9">
        <f>Liquor!$F145*1.5</f>
        <v>1.0917075767433606</v>
      </c>
      <c r="H145" s="9">
        <v>11</v>
      </c>
      <c r="I145" s="6">
        <f>Liquor!$G145/Liquor!$H145</f>
        <v>9.9246143340305515E-2</v>
      </c>
      <c r="J145" s="47">
        <v>0.75</v>
      </c>
      <c r="K145" s="3"/>
      <c r="L145" s="3"/>
      <c r="M145" s="3">
        <f>SUM(Liquor!$J145:$L145)</f>
        <v>0.75</v>
      </c>
      <c r="N145" s="9">
        <f t="shared" si="5"/>
        <v>18.4575</v>
      </c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2">
      <c r="A146" s="24" t="s">
        <v>58</v>
      </c>
      <c r="B146" s="4">
        <v>25.36</v>
      </c>
      <c r="C146" s="25" t="s">
        <v>165</v>
      </c>
      <c r="D146" s="25" t="s">
        <v>156</v>
      </c>
      <c r="E146" s="9">
        <v>38.1</v>
      </c>
      <c r="F146" s="9">
        <f t="shared" si="6"/>
        <v>1.5023659305993691</v>
      </c>
      <c r="G146" s="9">
        <f>Liquor!$F146*1.5</f>
        <v>2.2535488958990535</v>
      </c>
      <c r="H146" s="39">
        <v>13</v>
      </c>
      <c r="I146" s="6">
        <f>Liquor!$G146/Liquor!$H146</f>
        <v>0.17334991506915795</v>
      </c>
      <c r="J146" s="47">
        <v>0.5</v>
      </c>
      <c r="K146" s="3"/>
      <c r="L146" s="3"/>
      <c r="M146" s="3">
        <f>SUM(Liquor!$J146:$L146)</f>
        <v>0.5</v>
      </c>
      <c r="N146" s="9">
        <f t="shared" si="5"/>
        <v>19.05</v>
      </c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2">
      <c r="A147" s="24" t="s">
        <v>58</v>
      </c>
      <c r="B147" s="4">
        <v>25.36</v>
      </c>
      <c r="C147" s="25" t="s">
        <v>166</v>
      </c>
      <c r="D147" s="25" t="s">
        <v>156</v>
      </c>
      <c r="E147" s="9">
        <v>33.54</v>
      </c>
      <c r="F147" s="9">
        <f t="shared" si="6"/>
        <v>1.3225552050473186</v>
      </c>
      <c r="G147" s="9">
        <f>Liquor!$F147*1.5</f>
        <v>1.9838328075709779</v>
      </c>
      <c r="H147" s="9">
        <v>13</v>
      </c>
      <c r="I147" s="6">
        <f>Liquor!$G147/Liquor!$H147</f>
        <v>0.15260252365930599</v>
      </c>
      <c r="J147" s="47">
        <v>0.3</v>
      </c>
      <c r="K147" s="3"/>
      <c r="L147" s="3"/>
      <c r="M147" s="3">
        <f>SUM(Liquor!$J147:$L147)</f>
        <v>0.3</v>
      </c>
      <c r="N147" s="9">
        <f t="shared" si="5"/>
        <v>10.061999999999999</v>
      </c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 x14ac:dyDescent="0.2">
      <c r="A148" s="41" t="s">
        <v>58</v>
      </c>
      <c r="B148" s="42">
        <v>25.36</v>
      </c>
      <c r="C148" s="14" t="s">
        <v>167</v>
      </c>
      <c r="D148" s="14" t="s">
        <v>156</v>
      </c>
      <c r="E148" s="36">
        <v>34.47</v>
      </c>
      <c r="F148" s="36">
        <f t="shared" si="6"/>
        <v>1.3592271293375393</v>
      </c>
      <c r="G148" s="36">
        <f>Liquor!$F148*1.5</f>
        <v>2.0388406940063089</v>
      </c>
      <c r="H148" s="36">
        <v>14</v>
      </c>
      <c r="I148" s="16">
        <f>Liquor!$G148/Liquor!$H148</f>
        <v>0.14563147814330776</v>
      </c>
      <c r="J148" s="10"/>
      <c r="K148" s="18"/>
      <c r="L148" s="18"/>
      <c r="M148" s="18">
        <f>SUM(Liquor!$J148:$L148)</f>
        <v>0</v>
      </c>
      <c r="N148" s="36">
        <f t="shared" si="5"/>
        <v>0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24" t="s">
        <v>44</v>
      </c>
      <c r="B149" s="4">
        <v>33.814</v>
      </c>
      <c r="C149" s="25" t="s">
        <v>168</v>
      </c>
      <c r="D149" s="25" t="s">
        <v>156</v>
      </c>
      <c r="E149" s="9">
        <v>33.979999999999997</v>
      </c>
      <c r="F149" s="9">
        <f t="shared" si="6"/>
        <v>1.0049092092032885</v>
      </c>
      <c r="G149" s="9">
        <f>Liquor!$F149*1.5</f>
        <v>1.5073638138049328</v>
      </c>
      <c r="H149" s="9">
        <v>14</v>
      </c>
      <c r="I149" s="6">
        <f>Liquor!$G149/Liquor!$H149</f>
        <v>0.10766884384320949</v>
      </c>
      <c r="J149" s="47">
        <v>1</v>
      </c>
      <c r="K149" s="3"/>
      <c r="L149" s="3"/>
      <c r="M149" s="3">
        <f>SUM(Liquor!$J149:$L149)</f>
        <v>1</v>
      </c>
      <c r="N149" s="9">
        <f t="shared" si="5"/>
        <v>33.979999999999997</v>
      </c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 x14ac:dyDescent="0.2">
      <c r="A150" s="24" t="s">
        <v>44</v>
      </c>
      <c r="B150" s="4">
        <v>33.814</v>
      </c>
      <c r="C150" s="25" t="s">
        <v>169</v>
      </c>
      <c r="D150" s="25" t="s">
        <v>156</v>
      </c>
      <c r="E150" s="9">
        <v>74.930000000000007</v>
      </c>
      <c r="F150" s="9">
        <f t="shared" si="6"/>
        <v>2.215946057845863</v>
      </c>
      <c r="G150" s="9">
        <f>Liquor!$F150*1.5</f>
        <v>3.3239190867687944</v>
      </c>
      <c r="H150" s="9">
        <v>23</v>
      </c>
      <c r="I150" s="6">
        <f>Liquor!$G150/Liquor!$H150</f>
        <v>0.14451822116386062</v>
      </c>
      <c r="J150" s="47">
        <v>0.7</v>
      </c>
      <c r="K150" s="3"/>
      <c r="L150" s="65"/>
      <c r="M150" s="3">
        <f>SUM(Liquor!$J150:$L150)</f>
        <v>0.7</v>
      </c>
      <c r="N150" s="9">
        <f t="shared" si="5"/>
        <v>52.451000000000001</v>
      </c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 x14ac:dyDescent="0.2">
      <c r="A151" s="24" t="s">
        <v>58</v>
      </c>
      <c r="B151" s="4">
        <v>25.36</v>
      </c>
      <c r="C151" s="25" t="s">
        <v>170</v>
      </c>
      <c r="D151" s="25" t="s">
        <v>156</v>
      </c>
      <c r="E151" s="9">
        <v>34.57</v>
      </c>
      <c r="F151" s="9">
        <f t="shared" si="6"/>
        <v>1.3631703470031546</v>
      </c>
      <c r="G151" s="9">
        <f>Liquor!$F151*1.5</f>
        <v>2.0447555205047321</v>
      </c>
      <c r="H151" s="39">
        <v>14</v>
      </c>
      <c r="I151" s="6">
        <f>Liquor!$G151/Liquor!$H151</f>
        <v>0.14605396575033799</v>
      </c>
      <c r="J151" s="47">
        <v>0.3</v>
      </c>
      <c r="K151" s="3"/>
      <c r="L151" s="3"/>
      <c r="M151" s="3">
        <f>SUM(Liquor!$J151:$L151)</f>
        <v>0.3</v>
      </c>
      <c r="N151" s="9">
        <f t="shared" si="5"/>
        <v>10.371</v>
      </c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 x14ac:dyDescent="0.2">
      <c r="A152" s="24" t="s">
        <v>58</v>
      </c>
      <c r="B152" s="4">
        <v>25.36</v>
      </c>
      <c r="C152" s="14" t="s">
        <v>171</v>
      </c>
      <c r="D152" s="25" t="s">
        <v>156</v>
      </c>
      <c r="E152" s="9">
        <v>27.3</v>
      </c>
      <c r="F152" s="9">
        <f t="shared" si="6"/>
        <v>1.0764984227129337</v>
      </c>
      <c r="G152" s="9">
        <f>Liquor!$F152*1.5</f>
        <v>1.6147476340694005</v>
      </c>
      <c r="H152" s="9">
        <v>13</v>
      </c>
      <c r="I152" s="6">
        <f>Liquor!$G152/Liquor!$H152</f>
        <v>0.12421135646687696</v>
      </c>
      <c r="J152" s="47">
        <v>0.6</v>
      </c>
      <c r="K152" s="3"/>
      <c r="L152" s="3"/>
      <c r="M152" s="3">
        <f>SUM(Liquor!$J152:$L152)</f>
        <v>0.6</v>
      </c>
      <c r="N152" s="9">
        <f t="shared" si="5"/>
        <v>16.38</v>
      </c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 x14ac:dyDescent="0.2">
      <c r="A153" s="34" t="s">
        <v>44</v>
      </c>
      <c r="B153" s="35">
        <v>33.814</v>
      </c>
      <c r="C153" s="14" t="s">
        <v>172</v>
      </c>
      <c r="D153" s="14" t="s">
        <v>156</v>
      </c>
      <c r="E153" s="36">
        <v>39.630000000000003</v>
      </c>
      <c r="F153" s="36">
        <f t="shared" si="6"/>
        <v>1.1719997634116048</v>
      </c>
      <c r="G153" s="36">
        <f>Liquor!$F153*1.5</f>
        <v>1.7579996451174074</v>
      </c>
      <c r="H153" s="36">
        <v>13</v>
      </c>
      <c r="I153" s="16">
        <f>Liquor!$G153/Liquor!$H153</f>
        <v>0.13523074193210827</v>
      </c>
      <c r="J153" s="10"/>
      <c r="K153" s="18"/>
      <c r="L153" s="18"/>
      <c r="M153" s="18">
        <f>SUM(Liquor!$J153:$L153)</f>
        <v>0</v>
      </c>
      <c r="N153" s="36">
        <f t="shared" si="5"/>
        <v>0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">
      <c r="A154" s="24" t="s">
        <v>58</v>
      </c>
      <c r="B154" s="4">
        <v>25.36</v>
      </c>
      <c r="C154" s="25" t="s">
        <v>173</v>
      </c>
      <c r="D154" s="25" t="s">
        <v>156</v>
      </c>
      <c r="E154" s="9">
        <v>26.16</v>
      </c>
      <c r="F154" s="9">
        <f t="shared" si="6"/>
        <v>1.0315457413249212</v>
      </c>
      <c r="G154" s="9">
        <f>Liquor!$F154*1.5</f>
        <v>1.5473186119873819</v>
      </c>
      <c r="H154" s="9">
        <v>14</v>
      </c>
      <c r="I154" s="6">
        <f>Liquor!$G154/Liquor!$H154</f>
        <v>0.11052275799909871</v>
      </c>
      <c r="J154" s="47">
        <v>0.75</v>
      </c>
      <c r="K154" s="3"/>
      <c r="L154" s="3"/>
      <c r="M154" s="3">
        <f>SUM(Liquor!$J154:$L154)</f>
        <v>0.75</v>
      </c>
      <c r="N154" s="9">
        <f t="shared" si="5"/>
        <v>19.62</v>
      </c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 x14ac:dyDescent="0.2">
      <c r="A155" s="24" t="s">
        <v>58</v>
      </c>
      <c r="B155" s="4">
        <v>25.36</v>
      </c>
      <c r="C155" s="25" t="s">
        <v>174</v>
      </c>
      <c r="D155" s="25" t="s">
        <v>156</v>
      </c>
      <c r="E155" s="39">
        <v>22.73</v>
      </c>
      <c r="F155" s="9">
        <f t="shared" si="6"/>
        <v>0.89629337539432186</v>
      </c>
      <c r="G155" s="9">
        <f>Liquor!$F155*1.5</f>
        <v>1.3444400630914828</v>
      </c>
      <c r="H155" s="39">
        <v>12</v>
      </c>
      <c r="I155" s="6">
        <f>Liquor!$G155/Liquor!$H155</f>
        <v>0.11203667192429023</v>
      </c>
      <c r="J155" s="47">
        <v>1.1000000000000001</v>
      </c>
      <c r="K155" s="3"/>
      <c r="L155" s="3"/>
      <c r="M155" s="3">
        <f>SUM(Liquor!$J155:$L155)</f>
        <v>1.1000000000000001</v>
      </c>
      <c r="N155" s="9">
        <f t="shared" si="5"/>
        <v>25.003000000000004</v>
      </c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 x14ac:dyDescent="0.2">
      <c r="A156" s="24" t="s">
        <v>44</v>
      </c>
      <c r="B156" s="4">
        <v>33.814</v>
      </c>
      <c r="C156" s="25" t="s">
        <v>174</v>
      </c>
      <c r="D156" s="25" t="s">
        <v>156</v>
      </c>
      <c r="E156" s="9">
        <v>27.63</v>
      </c>
      <c r="F156" s="9">
        <f t="shared" si="6"/>
        <v>0.81711717040279175</v>
      </c>
      <c r="G156" s="9">
        <f>Liquor!$F156*1.5</f>
        <v>1.2256757556041875</v>
      </c>
      <c r="H156" s="39">
        <v>12</v>
      </c>
      <c r="I156" s="6">
        <f>Liquor!$G156/Liquor!$H156</f>
        <v>0.10213964630034895</v>
      </c>
      <c r="J156" s="24"/>
      <c r="K156" s="3"/>
      <c r="L156" s="3"/>
      <c r="M156" s="3">
        <f>SUM(Liquor!$J156:$L156)</f>
        <v>0</v>
      </c>
      <c r="N156" s="9">
        <f t="shared" si="5"/>
        <v>0</v>
      </c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 x14ac:dyDescent="0.2">
      <c r="A157" s="24" t="s">
        <v>58</v>
      </c>
      <c r="B157" s="4">
        <v>25.36</v>
      </c>
      <c r="C157" s="25" t="s">
        <v>175</v>
      </c>
      <c r="D157" s="25" t="s">
        <v>156</v>
      </c>
      <c r="E157" s="9">
        <v>25.66</v>
      </c>
      <c r="F157" s="9">
        <f t="shared" si="6"/>
        <v>1.0118296529968454</v>
      </c>
      <c r="G157" s="9">
        <f>Liquor!$F157*1.5</f>
        <v>1.5177444794952679</v>
      </c>
      <c r="H157" s="9">
        <v>10</v>
      </c>
      <c r="I157" s="6">
        <f>Liquor!$G157/Liquor!$H157</f>
        <v>0.1517744479495268</v>
      </c>
      <c r="J157" s="24"/>
      <c r="K157" s="3"/>
      <c r="L157" s="3"/>
      <c r="M157" s="3">
        <f>SUM(Liquor!$J157:$L157)</f>
        <v>0</v>
      </c>
      <c r="N157" s="9">
        <f t="shared" si="5"/>
        <v>0</v>
      </c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 x14ac:dyDescent="0.2">
      <c r="A158" s="34" t="s">
        <v>44</v>
      </c>
      <c r="B158" s="35">
        <v>33.814</v>
      </c>
      <c r="C158" s="25" t="s">
        <v>175</v>
      </c>
      <c r="D158" s="14" t="s">
        <v>156</v>
      </c>
      <c r="E158" s="36">
        <v>29.96</v>
      </c>
      <c r="F158" s="36">
        <f t="shared" si="6"/>
        <v>0.88602354054533627</v>
      </c>
      <c r="G158" s="36">
        <f>Liquor!$F158*1.5</f>
        <v>1.3290353108180044</v>
      </c>
      <c r="H158" s="36">
        <v>10</v>
      </c>
      <c r="I158" s="16">
        <f>Liquor!$G158/Liquor!$H158</f>
        <v>0.13290353108180045</v>
      </c>
      <c r="J158" s="63">
        <v>0.5</v>
      </c>
      <c r="K158" s="18"/>
      <c r="L158" s="18"/>
      <c r="M158" s="18">
        <f>SUM(Liquor!$J158:$L158)</f>
        <v>0.5</v>
      </c>
      <c r="N158" s="36">
        <f t="shared" si="5"/>
        <v>14.98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">
      <c r="A159" s="24" t="s">
        <v>58</v>
      </c>
      <c r="B159" s="4">
        <v>25.36</v>
      </c>
      <c r="C159" s="25" t="s">
        <v>176</v>
      </c>
      <c r="D159" s="25" t="s">
        <v>156</v>
      </c>
      <c r="E159" s="9">
        <v>26.7</v>
      </c>
      <c r="F159" s="9">
        <f t="shared" si="6"/>
        <v>1.0528391167192428</v>
      </c>
      <c r="G159" s="9">
        <f>Liquor!$F159*1.5</f>
        <v>1.5792586750788642</v>
      </c>
      <c r="H159" s="9">
        <v>12</v>
      </c>
      <c r="I159" s="6">
        <f>Liquor!$G159/Liquor!$H159</f>
        <v>0.13160488958990535</v>
      </c>
      <c r="J159" s="47">
        <v>0.1</v>
      </c>
      <c r="K159" s="3"/>
      <c r="L159" s="3"/>
      <c r="M159" s="3">
        <f>SUM(Liquor!$J159:$L159)</f>
        <v>0.1</v>
      </c>
      <c r="N159" s="9">
        <f t="shared" si="5"/>
        <v>2.67</v>
      </c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 x14ac:dyDescent="0.2">
      <c r="A160" s="24" t="s">
        <v>58</v>
      </c>
      <c r="B160" s="4">
        <v>25.36</v>
      </c>
      <c r="C160" s="25" t="s">
        <v>177</v>
      </c>
      <c r="D160" s="25" t="s">
        <v>156</v>
      </c>
      <c r="E160" s="9">
        <v>30.46</v>
      </c>
      <c r="F160" s="9">
        <f t="shared" si="6"/>
        <v>1.2011041009463723</v>
      </c>
      <c r="G160" s="9">
        <f>Liquor!$F160*1.5</f>
        <v>1.8016561514195586</v>
      </c>
      <c r="H160" s="9">
        <v>12</v>
      </c>
      <c r="I160" s="6">
        <f>Liquor!$G160/Liquor!$H160</f>
        <v>0.15013801261829654</v>
      </c>
      <c r="J160" s="47">
        <v>0.4</v>
      </c>
      <c r="K160" s="3"/>
      <c r="L160" s="3"/>
      <c r="M160" s="3">
        <f>SUM(Liquor!$J160:$L160)</f>
        <v>0.4</v>
      </c>
      <c r="N160" s="9">
        <f t="shared" si="5"/>
        <v>12.184000000000001</v>
      </c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 x14ac:dyDescent="0.2">
      <c r="A161" s="24" t="s">
        <v>58</v>
      </c>
      <c r="B161" s="4">
        <v>25.36</v>
      </c>
      <c r="C161" s="25" t="s">
        <v>178</v>
      </c>
      <c r="D161" s="25" t="s">
        <v>156</v>
      </c>
      <c r="E161" s="9">
        <v>30.46</v>
      </c>
      <c r="F161" s="9">
        <f t="shared" si="6"/>
        <v>1.2011041009463723</v>
      </c>
      <c r="G161" s="9">
        <f>Liquor!$F161*1.5</f>
        <v>1.8016561514195586</v>
      </c>
      <c r="H161" s="9">
        <v>12</v>
      </c>
      <c r="I161" s="6">
        <f>Liquor!$G161/Liquor!$H161</f>
        <v>0.15013801261829654</v>
      </c>
      <c r="J161" s="47">
        <v>0.4</v>
      </c>
      <c r="K161" s="3"/>
      <c r="L161" s="3"/>
      <c r="M161" s="3">
        <f>SUM(Liquor!$J161:$L161)</f>
        <v>0.4</v>
      </c>
      <c r="N161" s="9">
        <f t="shared" si="5"/>
        <v>12.184000000000001</v>
      </c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 x14ac:dyDescent="0.2">
      <c r="A162" s="24" t="s">
        <v>58</v>
      </c>
      <c r="B162" s="4">
        <v>25.36</v>
      </c>
      <c r="C162" s="25" t="s">
        <v>179</v>
      </c>
      <c r="D162" s="25" t="s">
        <v>180</v>
      </c>
      <c r="E162" s="9">
        <v>29.44</v>
      </c>
      <c r="F162" s="9">
        <f t="shared" si="6"/>
        <v>1.1608832807570979</v>
      </c>
      <c r="G162" s="9">
        <f>Liquor!$F162*1.5</f>
        <v>1.741324921135647</v>
      </c>
      <c r="H162" s="9">
        <v>11</v>
      </c>
      <c r="I162" s="6">
        <f>Liquor!$G162/Liquor!$H162</f>
        <v>0.15830226555778609</v>
      </c>
      <c r="J162" s="24"/>
      <c r="K162" s="3"/>
      <c r="L162" s="3"/>
      <c r="M162" s="3">
        <f>SUM(Liquor!$J162:$L162)</f>
        <v>0</v>
      </c>
      <c r="N162" s="9">
        <f t="shared" si="5"/>
        <v>0</v>
      </c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 x14ac:dyDescent="0.2">
      <c r="A163" s="24" t="s">
        <v>58</v>
      </c>
      <c r="B163" s="4">
        <v>25.36</v>
      </c>
      <c r="C163" s="25" t="s">
        <v>181</v>
      </c>
      <c r="D163" s="25" t="s">
        <v>180</v>
      </c>
      <c r="E163" s="9">
        <v>27.11</v>
      </c>
      <c r="F163" s="9">
        <f t="shared" si="6"/>
        <v>1.0690063091482649</v>
      </c>
      <c r="G163" s="9">
        <f>Liquor!$F163*1.5</f>
        <v>1.6035094637223972</v>
      </c>
      <c r="H163" s="9">
        <v>10</v>
      </c>
      <c r="I163" s="6">
        <f>Liquor!$G163/Liquor!$H163</f>
        <v>0.16035094637223973</v>
      </c>
      <c r="J163" s="47">
        <v>0.4</v>
      </c>
      <c r="K163" s="3"/>
      <c r="L163" s="3"/>
      <c r="M163" s="3">
        <f>SUM(Liquor!$J163:$L163)</f>
        <v>0.4</v>
      </c>
      <c r="N163" s="9">
        <f t="shared" si="5"/>
        <v>10.844000000000001</v>
      </c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 x14ac:dyDescent="0.2">
      <c r="A164" s="24" t="s">
        <v>58</v>
      </c>
      <c r="B164" s="4">
        <v>25.36</v>
      </c>
      <c r="C164" s="25" t="s">
        <v>182</v>
      </c>
      <c r="D164" s="25" t="s">
        <v>183</v>
      </c>
      <c r="E164" s="9">
        <v>31.88</v>
      </c>
      <c r="F164" s="9">
        <f t="shared" si="6"/>
        <v>1.2570977917981072</v>
      </c>
      <c r="G164" s="9">
        <f>Liquor!$F164*1.5</f>
        <v>1.8856466876971609</v>
      </c>
      <c r="H164" s="9">
        <v>8</v>
      </c>
      <c r="I164" s="6">
        <f>Liquor!$G164/Liquor!$H164</f>
        <v>0.23570583596214512</v>
      </c>
      <c r="J164" s="24"/>
      <c r="K164" s="3"/>
      <c r="L164" s="3"/>
      <c r="M164" s="3">
        <f>SUM(Liquor!$J164:$L164)</f>
        <v>0</v>
      </c>
      <c r="N164" s="9">
        <f t="shared" si="5"/>
        <v>0</v>
      </c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 x14ac:dyDescent="0.2">
      <c r="A165" s="34" t="s">
        <v>58</v>
      </c>
      <c r="B165" s="35">
        <v>25.36</v>
      </c>
      <c r="C165" s="43" t="s">
        <v>184</v>
      </c>
      <c r="D165" s="14" t="s">
        <v>183</v>
      </c>
      <c r="E165" s="36">
        <v>30.25</v>
      </c>
      <c r="F165" s="9">
        <f t="shared" si="6"/>
        <v>1.1928233438485805</v>
      </c>
      <c r="G165" s="9">
        <f>Liquor!$F165*1.5</f>
        <v>1.7892350157728707</v>
      </c>
      <c r="H165" s="9">
        <v>8</v>
      </c>
      <c r="I165" s="6">
        <f>Liquor!$G165/Liquor!$H165</f>
        <v>0.22365437697160884</v>
      </c>
      <c r="J165" s="12"/>
      <c r="K165" s="18"/>
      <c r="L165" s="18"/>
      <c r="M165" s="3">
        <f>SUM(Liquor!$J165:$L165)</f>
        <v>0</v>
      </c>
      <c r="N165" s="9">
        <f t="shared" si="5"/>
        <v>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">
      <c r="A166" s="34" t="s">
        <v>58</v>
      </c>
      <c r="B166" s="35">
        <v>25.36</v>
      </c>
      <c r="C166" s="43" t="s">
        <v>185</v>
      </c>
      <c r="D166" s="14" t="s">
        <v>183</v>
      </c>
      <c r="E166" s="36">
        <v>24.42</v>
      </c>
      <c r="F166" s="36">
        <f t="shared" si="6"/>
        <v>0.96293375394321779</v>
      </c>
      <c r="G166" s="36">
        <f>Liquor!$F166*1.5</f>
        <v>1.4444006309148267</v>
      </c>
      <c r="H166" s="36">
        <v>10</v>
      </c>
      <c r="I166" s="16">
        <f>Liquor!$G166/Liquor!$H166</f>
        <v>0.14444006309148266</v>
      </c>
      <c r="J166" s="12"/>
      <c r="K166" s="18"/>
      <c r="L166" s="18"/>
      <c r="M166" s="18">
        <f>SUM(Liquor!$J166:$L166)</f>
        <v>0</v>
      </c>
      <c r="N166" s="36">
        <f t="shared" si="5"/>
        <v>0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">
      <c r="A167" s="24" t="s">
        <v>44</v>
      </c>
      <c r="B167" s="4">
        <v>33.814</v>
      </c>
      <c r="C167" s="25" t="s">
        <v>185</v>
      </c>
      <c r="D167" s="25" t="s">
        <v>183</v>
      </c>
      <c r="E167" s="9">
        <v>27.25</v>
      </c>
      <c r="F167" s="9">
        <f t="shared" si="6"/>
        <v>0.80587922162417935</v>
      </c>
      <c r="G167" s="9">
        <f>Liquor!$F167*1.5</f>
        <v>1.208818832436269</v>
      </c>
      <c r="H167" s="9">
        <v>10</v>
      </c>
      <c r="I167" s="6">
        <f>Liquor!$G167/Liquor!$H167</f>
        <v>0.12088188324362689</v>
      </c>
      <c r="J167" s="24"/>
      <c r="K167" s="3"/>
      <c r="L167" s="3"/>
      <c r="M167" s="3">
        <f>SUM(Liquor!$J167:$L167)</f>
        <v>0</v>
      </c>
      <c r="N167" s="9">
        <f t="shared" si="5"/>
        <v>0</v>
      </c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 x14ac:dyDescent="0.2">
      <c r="A168" s="24" t="s">
        <v>58</v>
      </c>
      <c r="B168" s="4">
        <v>25.36</v>
      </c>
      <c r="C168" s="25" t="s">
        <v>186</v>
      </c>
      <c r="D168" s="25" t="s">
        <v>183</v>
      </c>
      <c r="E168" s="9">
        <v>18.16</v>
      </c>
      <c r="F168" s="9">
        <f t="shared" si="6"/>
        <v>0.71608832807570977</v>
      </c>
      <c r="G168" s="9">
        <f>Liquor!$F168*1.5</f>
        <v>1.0741324921135647</v>
      </c>
      <c r="H168" s="66">
        <v>7</v>
      </c>
      <c r="I168" s="6">
        <f>Liquor!$G168/Liquor!$H168</f>
        <v>0.15344749887336637</v>
      </c>
      <c r="J168" s="24"/>
      <c r="K168" s="3"/>
      <c r="L168" s="3"/>
      <c r="M168" s="30">
        <f>SUM(Liquor!$J168:$L168)</f>
        <v>0</v>
      </c>
      <c r="N168" s="9">
        <f t="shared" si="5"/>
        <v>0</v>
      </c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 x14ac:dyDescent="0.2">
      <c r="A169" s="24" t="s">
        <v>58</v>
      </c>
      <c r="B169" s="4">
        <v>25.36</v>
      </c>
      <c r="C169" s="25" t="s">
        <v>187</v>
      </c>
      <c r="D169" s="25" t="s">
        <v>183</v>
      </c>
      <c r="E169" s="9">
        <v>31.6</v>
      </c>
      <c r="F169" s="9">
        <f t="shared" si="6"/>
        <v>1.2460567823343849</v>
      </c>
      <c r="G169" s="9">
        <f>Liquor!$F169*1.5</f>
        <v>1.8690851735015772</v>
      </c>
      <c r="H169" s="9">
        <v>10</v>
      </c>
      <c r="I169" s="6">
        <f>Liquor!$G169/Liquor!$H169</f>
        <v>0.18690851735015773</v>
      </c>
      <c r="J169" s="24"/>
      <c r="K169" s="3"/>
      <c r="L169" s="3"/>
      <c r="M169" s="3">
        <f>SUM(Liquor!$J169:$L169)</f>
        <v>0</v>
      </c>
      <c r="N169" s="9">
        <f t="shared" si="5"/>
        <v>0</v>
      </c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 x14ac:dyDescent="0.2">
      <c r="A170" s="34" t="s">
        <v>44</v>
      </c>
      <c r="B170" s="35">
        <v>33.814</v>
      </c>
      <c r="C170" s="14" t="s">
        <v>187</v>
      </c>
      <c r="D170" s="14" t="s">
        <v>183</v>
      </c>
      <c r="E170" s="36">
        <v>29.79</v>
      </c>
      <c r="F170" s="36">
        <f t="shared" si="6"/>
        <v>0.88099603714437802</v>
      </c>
      <c r="G170" s="36">
        <f>Liquor!$F170*1.5</f>
        <v>1.3214940557165671</v>
      </c>
      <c r="H170" s="36">
        <v>10</v>
      </c>
      <c r="I170" s="16">
        <f>Liquor!$G170/Liquor!$H170</f>
        <v>0.13214940557165672</v>
      </c>
      <c r="J170" s="10"/>
      <c r="K170" s="18"/>
      <c r="L170" s="18"/>
      <c r="M170" s="18">
        <f>SUM(Liquor!$J170:$L170)</f>
        <v>0</v>
      </c>
      <c r="N170" s="36">
        <f t="shared" si="5"/>
        <v>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">
      <c r="A171" s="24" t="s">
        <v>44</v>
      </c>
      <c r="B171" s="4">
        <v>33.814</v>
      </c>
      <c r="C171" s="25" t="s">
        <v>188</v>
      </c>
      <c r="D171" s="25" t="s">
        <v>183</v>
      </c>
      <c r="E171" s="9">
        <v>29.43</v>
      </c>
      <c r="F171" s="36">
        <f t="shared" si="6"/>
        <v>0.87034955935411362</v>
      </c>
      <c r="G171" s="36">
        <f>Liquor!$F171*1.5</f>
        <v>1.3055243390311704</v>
      </c>
      <c r="H171" s="39">
        <v>10</v>
      </c>
      <c r="I171" s="16">
        <f>Liquor!$G171/Liquor!$H171</f>
        <v>0.13055243390311705</v>
      </c>
      <c r="J171" s="24"/>
      <c r="K171" s="3"/>
      <c r="L171" s="3"/>
      <c r="M171" s="38">
        <f>SUM(Liquor!$J171:$L171)+$J452</f>
        <v>0</v>
      </c>
      <c r="N171" s="36">
        <f t="shared" si="5"/>
        <v>0</v>
      </c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 x14ac:dyDescent="0.2">
      <c r="A172" s="24" t="s">
        <v>58</v>
      </c>
      <c r="B172" s="4">
        <v>25.36</v>
      </c>
      <c r="C172" s="25" t="s">
        <v>189</v>
      </c>
      <c r="D172" s="25" t="s">
        <v>183</v>
      </c>
      <c r="E172" s="9">
        <v>21.14</v>
      </c>
      <c r="F172" s="9">
        <f t="shared" si="6"/>
        <v>0.83359621451104104</v>
      </c>
      <c r="G172" s="9">
        <f>Liquor!$F172*1.5</f>
        <v>1.2503943217665616</v>
      </c>
      <c r="H172" s="39">
        <v>10</v>
      </c>
      <c r="I172" s="6">
        <f>Liquor!$G172/Liquor!$H172</f>
        <v>0.12503943217665617</v>
      </c>
      <c r="J172" s="24"/>
      <c r="K172" s="3"/>
      <c r="L172" s="3"/>
      <c r="M172" s="3">
        <f>SUM(Liquor!$J172:$L172)</f>
        <v>0</v>
      </c>
      <c r="N172" s="9">
        <f t="shared" si="5"/>
        <v>0</v>
      </c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 x14ac:dyDescent="0.2">
      <c r="A173" s="24" t="s">
        <v>58</v>
      </c>
      <c r="B173" s="4">
        <v>25.36</v>
      </c>
      <c r="C173" s="25" t="s">
        <v>190</v>
      </c>
      <c r="D173" s="25" t="s">
        <v>183</v>
      </c>
      <c r="E173" s="9">
        <v>47.1</v>
      </c>
      <c r="F173" s="9">
        <f t="shared" si="6"/>
        <v>1.8572555205047319</v>
      </c>
      <c r="G173" s="9">
        <f>Liquor!$F173*1.5</f>
        <v>2.7858832807570977</v>
      </c>
      <c r="H173" s="39">
        <v>16</v>
      </c>
      <c r="I173" s="6">
        <f>Liquor!$G173/Liquor!$H173</f>
        <v>0.1741177050473186</v>
      </c>
      <c r="J173" s="24"/>
      <c r="K173" s="3"/>
      <c r="L173" s="3"/>
      <c r="M173" s="3">
        <f>SUM(Liquor!$J173:$L173)</f>
        <v>0</v>
      </c>
      <c r="N173" s="9">
        <f t="shared" si="5"/>
        <v>0</v>
      </c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 x14ac:dyDescent="0.2">
      <c r="A174" s="24" t="s">
        <v>58</v>
      </c>
      <c r="B174" s="4">
        <v>25.36</v>
      </c>
      <c r="C174" s="25" t="s">
        <v>191</v>
      </c>
      <c r="D174" s="25" t="s">
        <v>183</v>
      </c>
      <c r="E174" s="9">
        <v>25.28</v>
      </c>
      <c r="F174" s="9">
        <f t="shared" si="6"/>
        <v>0.99684542586750791</v>
      </c>
      <c r="G174" s="9">
        <f>Liquor!$F174*1.5</f>
        <v>1.4952681388012619</v>
      </c>
      <c r="H174" s="9">
        <v>10</v>
      </c>
      <c r="I174" s="6">
        <f>Liquor!$G174/Liquor!$H174</f>
        <v>0.14952681388012617</v>
      </c>
      <c r="J174" s="24"/>
      <c r="K174" s="3"/>
      <c r="L174" s="3"/>
      <c r="M174" s="3">
        <f>SUM(Liquor!$J174:$L174)</f>
        <v>0</v>
      </c>
      <c r="N174" s="9">
        <f t="shared" si="5"/>
        <v>0</v>
      </c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 x14ac:dyDescent="0.2">
      <c r="A175" s="24" t="s">
        <v>58</v>
      </c>
      <c r="B175" s="4">
        <v>25.36</v>
      </c>
      <c r="C175" s="14" t="s">
        <v>192</v>
      </c>
      <c r="D175" s="25" t="s">
        <v>183</v>
      </c>
      <c r="E175" s="9">
        <v>30.15</v>
      </c>
      <c r="F175" s="9">
        <f t="shared" si="6"/>
        <v>1.1888801261829653</v>
      </c>
      <c r="G175" s="9">
        <f>Liquor!$F175*1.5</f>
        <v>1.7833201892744479</v>
      </c>
      <c r="H175" s="39">
        <v>8</v>
      </c>
      <c r="I175" s="6">
        <f>Liquor!$G175/Liquor!$H175</f>
        <v>0.22291502365930599</v>
      </c>
      <c r="J175" s="24"/>
      <c r="K175" s="3"/>
      <c r="L175" s="3"/>
      <c r="M175" s="3">
        <f>SUM(Liquor!$J175:$L175)</f>
        <v>0</v>
      </c>
      <c r="N175" s="9">
        <f t="shared" si="5"/>
        <v>0</v>
      </c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 x14ac:dyDescent="0.2">
      <c r="A176" s="34" t="s">
        <v>44</v>
      </c>
      <c r="B176" s="35">
        <v>33.814</v>
      </c>
      <c r="C176" s="14" t="s">
        <v>193</v>
      </c>
      <c r="D176" s="14" t="s">
        <v>183</v>
      </c>
      <c r="E176" s="36">
        <v>36.79</v>
      </c>
      <c r="F176" s="36">
        <f t="shared" si="6"/>
        <v>1.0880108830661857</v>
      </c>
      <c r="G176" s="36">
        <f>Liquor!$F176*1.5</f>
        <v>1.6320163245992785</v>
      </c>
      <c r="H176" s="36">
        <v>12</v>
      </c>
      <c r="I176" s="16">
        <f>Liquor!$G176/Liquor!$H176</f>
        <v>0.13600136038327321</v>
      </c>
      <c r="J176" s="10"/>
      <c r="K176" s="18"/>
      <c r="L176" s="3"/>
      <c r="M176" s="18">
        <f>SUM(Liquor!$J176:$L176)</f>
        <v>0</v>
      </c>
      <c r="N176" s="36">
        <f t="shared" si="5"/>
        <v>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">
      <c r="A177" s="24" t="s">
        <v>58</v>
      </c>
      <c r="B177" s="4">
        <v>25.36</v>
      </c>
      <c r="C177" s="25" t="s">
        <v>194</v>
      </c>
      <c r="D177" s="25" t="s">
        <v>183</v>
      </c>
      <c r="E177" s="9">
        <v>14.24</v>
      </c>
      <c r="F177" s="36">
        <f t="shared" si="6"/>
        <v>0.56151419558359628</v>
      </c>
      <c r="G177" s="36">
        <f>Liquor!$F177*1.5</f>
        <v>0.84227129337539441</v>
      </c>
      <c r="H177" s="39">
        <v>8</v>
      </c>
      <c r="I177" s="16">
        <f>Liquor!$G177/Liquor!$H177</f>
        <v>0.1052839116719243</v>
      </c>
      <c r="J177" s="24"/>
      <c r="K177" s="3"/>
      <c r="L177" s="3"/>
      <c r="M177" s="18">
        <f>SUM(Liquor!$J177:$L177)</f>
        <v>0</v>
      </c>
      <c r="N177" s="36">
        <f t="shared" si="5"/>
        <v>0</v>
      </c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 x14ac:dyDescent="0.2">
      <c r="A178" s="24" t="s">
        <v>44</v>
      </c>
      <c r="B178" s="4">
        <v>33.814</v>
      </c>
      <c r="C178" s="25" t="s">
        <v>195</v>
      </c>
      <c r="D178" s="25" t="s">
        <v>183</v>
      </c>
      <c r="E178" s="9">
        <v>42.8</v>
      </c>
      <c r="F178" s="9">
        <f t="shared" si="6"/>
        <v>1.2657479150647659</v>
      </c>
      <c r="G178" s="9">
        <f>Liquor!$F178*1.5</f>
        <v>1.8986218725971489</v>
      </c>
      <c r="H178" s="39">
        <v>12</v>
      </c>
      <c r="I178" s="6">
        <f>Liquor!$G178/Liquor!$H178</f>
        <v>0.15821848938309574</v>
      </c>
      <c r="J178" s="24"/>
      <c r="K178" s="3"/>
      <c r="L178" s="3"/>
      <c r="M178" s="3">
        <f>SUM(Liquor!$J178:$L178)</f>
        <v>0</v>
      </c>
      <c r="N178" s="9">
        <f t="shared" si="5"/>
        <v>0</v>
      </c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 x14ac:dyDescent="0.2">
      <c r="A179" s="24" t="s">
        <v>44</v>
      </c>
      <c r="B179" s="4">
        <v>33.814</v>
      </c>
      <c r="C179" s="25" t="s">
        <v>196</v>
      </c>
      <c r="D179" s="25" t="s">
        <v>183</v>
      </c>
      <c r="E179" s="9">
        <v>11.19</v>
      </c>
      <c r="F179" s="9">
        <f t="shared" si="6"/>
        <v>0.33092801798071803</v>
      </c>
      <c r="G179" s="9">
        <f>Liquor!$F179*1.5</f>
        <v>0.49639202697107704</v>
      </c>
      <c r="H179" s="9">
        <v>10</v>
      </c>
      <c r="I179" s="6">
        <f>Liquor!$G179/Liquor!$H179</f>
        <v>4.9639202697107705E-2</v>
      </c>
      <c r="J179" s="24"/>
      <c r="K179" s="3"/>
      <c r="L179" s="3"/>
      <c r="M179" s="30">
        <f>SUM(Liquor!$J179:$L179)+$J428</f>
        <v>0</v>
      </c>
      <c r="N179" s="9">
        <f t="shared" si="5"/>
        <v>0</v>
      </c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 x14ac:dyDescent="0.2">
      <c r="A180" s="24" t="s">
        <v>44</v>
      </c>
      <c r="B180" s="4">
        <v>33.814</v>
      </c>
      <c r="C180" s="25" t="s">
        <v>197</v>
      </c>
      <c r="D180" s="25" t="s">
        <v>183</v>
      </c>
      <c r="E180" s="9">
        <v>11.19</v>
      </c>
      <c r="F180" s="9">
        <f t="shared" si="6"/>
        <v>0.33092801798071803</v>
      </c>
      <c r="G180" s="9">
        <f>Liquor!$F180*1.5</f>
        <v>0.49639202697107704</v>
      </c>
      <c r="H180" s="9">
        <v>10</v>
      </c>
      <c r="I180" s="6">
        <f>Liquor!$G180/Liquor!$H180</f>
        <v>4.9639202697107705E-2</v>
      </c>
      <c r="J180" s="24"/>
      <c r="K180" s="3"/>
      <c r="L180" s="3"/>
      <c r="M180" s="3">
        <f>SUM(Liquor!$J180:$L180)</f>
        <v>0</v>
      </c>
      <c r="N180" s="9">
        <f t="shared" si="5"/>
        <v>0</v>
      </c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 x14ac:dyDescent="0.2">
      <c r="A181" s="24" t="s">
        <v>44</v>
      </c>
      <c r="B181" s="4">
        <v>33.814</v>
      </c>
      <c r="C181" s="25" t="s">
        <v>198</v>
      </c>
      <c r="D181" s="25" t="s">
        <v>183</v>
      </c>
      <c r="E181" s="9">
        <v>44.95</v>
      </c>
      <c r="F181" s="9">
        <f t="shared" si="6"/>
        <v>1.3293310463121786</v>
      </c>
      <c r="G181" s="9">
        <f>Liquor!$F181*1.5</f>
        <v>1.9939965694682678</v>
      </c>
      <c r="H181" s="9">
        <v>12</v>
      </c>
      <c r="I181" s="6">
        <f>Liquor!$G181/Liquor!$H181</f>
        <v>0.16616638078902232</v>
      </c>
      <c r="J181" s="24"/>
      <c r="K181" s="3"/>
      <c r="L181" s="3"/>
      <c r="M181" s="3">
        <f>SUM(Liquor!$J181:$L181)</f>
        <v>0</v>
      </c>
      <c r="N181" s="9">
        <f t="shared" si="5"/>
        <v>0</v>
      </c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 x14ac:dyDescent="0.2">
      <c r="A182" s="24" t="s">
        <v>58</v>
      </c>
      <c r="B182" s="4">
        <v>25.36</v>
      </c>
      <c r="C182" s="25" t="s">
        <v>199</v>
      </c>
      <c r="D182" s="25" t="s">
        <v>183</v>
      </c>
      <c r="E182" s="9">
        <v>30.56</v>
      </c>
      <c r="F182" s="9">
        <f t="shared" si="6"/>
        <v>1.2050473186119874</v>
      </c>
      <c r="G182" s="9">
        <f>Liquor!$F182*1.5</f>
        <v>1.8075709779179812</v>
      </c>
      <c r="H182" s="39">
        <v>12</v>
      </c>
      <c r="I182" s="6">
        <f>Liquor!$G182/Liquor!$H182</f>
        <v>0.15063091482649843</v>
      </c>
      <c r="J182" s="24"/>
      <c r="K182" s="3"/>
      <c r="L182" s="3"/>
      <c r="M182" s="3">
        <f>SUM(Liquor!$J182:$L182)</f>
        <v>0</v>
      </c>
      <c r="N182" s="9">
        <f t="shared" si="5"/>
        <v>0</v>
      </c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 x14ac:dyDescent="0.2">
      <c r="A183" s="24" t="s">
        <v>44</v>
      </c>
      <c r="B183" s="4">
        <v>33.814</v>
      </c>
      <c r="C183" s="25" t="s">
        <v>199</v>
      </c>
      <c r="D183" s="25" t="s">
        <v>183</v>
      </c>
      <c r="E183" s="9">
        <v>37.340000000000003</v>
      </c>
      <c r="F183" s="9">
        <f t="shared" si="6"/>
        <v>1.1042763352457563</v>
      </c>
      <c r="G183" s="9">
        <f>Liquor!$F183*1.5</f>
        <v>1.6564145028686346</v>
      </c>
      <c r="H183" s="39">
        <v>12</v>
      </c>
      <c r="I183" s="6">
        <f>Liquor!$G183/Liquor!$H183</f>
        <v>0.13803454190571954</v>
      </c>
      <c r="J183" s="24"/>
      <c r="K183" s="3"/>
      <c r="L183" s="3"/>
      <c r="M183" s="30">
        <f>SUM(Liquor!$J183:$L183)+$J440</f>
        <v>0</v>
      </c>
      <c r="N183" s="9">
        <f t="shared" si="5"/>
        <v>0</v>
      </c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 x14ac:dyDescent="0.2">
      <c r="A184" s="24" t="s">
        <v>58</v>
      </c>
      <c r="B184" s="4">
        <v>25.36</v>
      </c>
      <c r="C184" s="25" t="s">
        <v>200</v>
      </c>
      <c r="D184" s="25" t="s">
        <v>183</v>
      </c>
      <c r="E184" s="9">
        <v>33.32</v>
      </c>
      <c r="F184" s="9">
        <f t="shared" si="6"/>
        <v>1.3138801261829653</v>
      </c>
      <c r="G184" s="9">
        <f>Liquor!$F184*1.5</f>
        <v>1.9708201892744479</v>
      </c>
      <c r="H184" s="9">
        <v>14</v>
      </c>
      <c r="I184" s="6">
        <f>Liquor!$G184/Liquor!$H184</f>
        <v>0.14077287066246055</v>
      </c>
      <c r="J184" s="24"/>
      <c r="K184" s="3"/>
      <c r="L184" s="3"/>
      <c r="M184" s="3">
        <f>SUM(Liquor!$J184:$L184)</f>
        <v>0</v>
      </c>
      <c r="N184" s="9">
        <f t="shared" si="5"/>
        <v>0</v>
      </c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 x14ac:dyDescent="0.2">
      <c r="A185" s="24" t="s">
        <v>58</v>
      </c>
      <c r="B185" s="4">
        <v>25.36</v>
      </c>
      <c r="C185" s="25" t="s">
        <v>201</v>
      </c>
      <c r="D185" s="25" t="s">
        <v>183</v>
      </c>
      <c r="E185" s="9">
        <v>56.07</v>
      </c>
      <c r="F185" s="9">
        <f t="shared" si="6"/>
        <v>2.2109621451104102</v>
      </c>
      <c r="G185" s="9">
        <f>Liquor!$F185*1.5</f>
        <v>3.3164432176656153</v>
      </c>
      <c r="H185" s="39">
        <v>18</v>
      </c>
      <c r="I185" s="6">
        <f>Liquor!$G185/Liquor!$H185</f>
        <v>0.18424684542586753</v>
      </c>
      <c r="J185" s="24"/>
      <c r="K185" s="3"/>
      <c r="L185" s="3"/>
      <c r="M185" s="30">
        <f>SUM(Liquor!$J185:$L185)+$I446</f>
        <v>0</v>
      </c>
      <c r="N185" s="9">
        <f t="shared" si="5"/>
        <v>0</v>
      </c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 x14ac:dyDescent="0.2">
      <c r="A186" s="24" t="s">
        <v>58</v>
      </c>
      <c r="B186" s="4">
        <v>25.36</v>
      </c>
      <c r="C186" s="25" t="s">
        <v>202</v>
      </c>
      <c r="D186" s="25" t="s">
        <v>183</v>
      </c>
      <c r="E186" s="9">
        <v>56.09</v>
      </c>
      <c r="F186" s="9">
        <f t="shared" si="6"/>
        <v>2.2117507886435335</v>
      </c>
      <c r="G186" s="9">
        <f>Liquor!$F186*1.5</f>
        <v>3.3176261829653004</v>
      </c>
      <c r="H186" s="39">
        <v>18</v>
      </c>
      <c r="I186" s="6">
        <f>Liquor!$G186/Liquor!$H186</f>
        <v>0.18431256572029447</v>
      </c>
      <c r="J186" s="24"/>
      <c r="K186" s="3"/>
      <c r="L186" s="3"/>
      <c r="M186" s="3">
        <f>SUM(Liquor!$J186:$L186)</f>
        <v>0</v>
      </c>
      <c r="N186" s="9">
        <f t="shared" si="5"/>
        <v>0</v>
      </c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">
      <c r="A187" s="24" t="s">
        <v>58</v>
      </c>
      <c r="B187" s="4">
        <v>25.36</v>
      </c>
      <c r="C187" s="25" t="s">
        <v>203</v>
      </c>
      <c r="D187" s="25" t="s">
        <v>183</v>
      </c>
      <c r="E187" s="9">
        <v>25.85</v>
      </c>
      <c r="F187" s="9">
        <f t="shared" si="6"/>
        <v>1.0193217665615142</v>
      </c>
      <c r="G187" s="9">
        <f>Liquor!$F187*1.5</f>
        <v>1.5289826498422712</v>
      </c>
      <c r="H187" s="39">
        <v>10</v>
      </c>
      <c r="I187" s="6">
        <f>Liquor!$G187/Liquor!$H187</f>
        <v>0.15289826498422712</v>
      </c>
      <c r="J187" s="24"/>
      <c r="K187" s="3"/>
      <c r="L187" s="3"/>
      <c r="M187" s="3">
        <f>SUM(Liquor!$J187:$L187)</f>
        <v>0</v>
      </c>
      <c r="N187" s="9">
        <f t="shared" si="5"/>
        <v>0</v>
      </c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 x14ac:dyDescent="0.2">
      <c r="A188" s="24" t="s">
        <v>58</v>
      </c>
      <c r="B188" s="4">
        <v>25.36</v>
      </c>
      <c r="C188" s="25" t="s">
        <v>204</v>
      </c>
      <c r="D188" s="25" t="s">
        <v>183</v>
      </c>
      <c r="E188" s="9">
        <v>21.45</v>
      </c>
      <c r="F188" s="9">
        <f t="shared" si="6"/>
        <v>0.84582018927444791</v>
      </c>
      <c r="G188" s="9">
        <f>Liquor!$F188*1.5</f>
        <v>1.2687302839116719</v>
      </c>
      <c r="H188" s="39">
        <v>10</v>
      </c>
      <c r="I188" s="6">
        <f>Liquor!$G188/Liquor!$H188</f>
        <v>0.12687302839116718</v>
      </c>
      <c r="J188" s="24"/>
      <c r="K188" s="3"/>
      <c r="L188" s="3"/>
      <c r="M188" s="3">
        <f>SUM(Liquor!$J188:$L188)</f>
        <v>0</v>
      </c>
      <c r="N188" s="9">
        <f t="shared" si="5"/>
        <v>0</v>
      </c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 x14ac:dyDescent="0.2">
      <c r="A189" s="24" t="s">
        <v>58</v>
      </c>
      <c r="B189" s="4">
        <v>25.36</v>
      </c>
      <c r="C189" s="14" t="s">
        <v>205</v>
      </c>
      <c r="D189" s="25" t="s">
        <v>183</v>
      </c>
      <c r="E189" s="9">
        <v>20.68</v>
      </c>
      <c r="F189" s="9">
        <f t="shared" si="6"/>
        <v>0.81545741324921139</v>
      </c>
      <c r="G189" s="9">
        <f>Liquor!$F189*1.5</f>
        <v>1.2231861198738172</v>
      </c>
      <c r="H189" s="9">
        <v>10</v>
      </c>
      <c r="I189" s="6">
        <f>Liquor!$G189/Liquor!$H189</f>
        <v>0.12231861198738173</v>
      </c>
      <c r="J189" s="24"/>
      <c r="K189" s="3"/>
      <c r="L189" s="3"/>
      <c r="M189" s="3">
        <f>SUM(Liquor!$J189:$L189)</f>
        <v>0</v>
      </c>
      <c r="N189" s="9">
        <f t="shared" si="5"/>
        <v>0</v>
      </c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 x14ac:dyDescent="0.2">
      <c r="A190" s="24" t="s">
        <v>44</v>
      </c>
      <c r="B190" s="4">
        <v>33.814</v>
      </c>
      <c r="C190" s="25" t="s">
        <v>206</v>
      </c>
      <c r="D190" s="25" t="s">
        <v>183</v>
      </c>
      <c r="E190" s="9">
        <v>33.5</v>
      </c>
      <c r="F190" s="9">
        <f t="shared" si="6"/>
        <v>0.99071390548293603</v>
      </c>
      <c r="G190" s="9">
        <f>Liquor!$F190*1.5</f>
        <v>1.486070858224404</v>
      </c>
      <c r="H190" s="9">
        <v>12</v>
      </c>
      <c r="I190" s="6">
        <f>Liquor!$G190/Liquor!$H190</f>
        <v>0.123839238185367</v>
      </c>
      <c r="J190" s="24"/>
      <c r="K190" s="3"/>
      <c r="L190" s="3"/>
      <c r="M190" s="3">
        <f>SUM(Liquor!$J190:$L190)</f>
        <v>0</v>
      </c>
      <c r="N190" s="9">
        <f t="shared" si="5"/>
        <v>0</v>
      </c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 x14ac:dyDescent="0.2">
      <c r="A191" s="24" t="s">
        <v>58</v>
      </c>
      <c r="B191" s="4">
        <v>25.36</v>
      </c>
      <c r="C191" s="25" t="s">
        <v>207</v>
      </c>
      <c r="D191" s="25" t="s">
        <v>183</v>
      </c>
      <c r="E191" s="9">
        <v>39.07</v>
      </c>
      <c r="F191" s="9">
        <f t="shared" si="6"/>
        <v>1.540615141955836</v>
      </c>
      <c r="G191" s="9">
        <f>Liquor!$F191*1.5</f>
        <v>2.310922712933754</v>
      </c>
      <c r="H191" s="9">
        <v>12</v>
      </c>
      <c r="I191" s="6">
        <f>Liquor!$G191/Liquor!$H191</f>
        <v>0.19257689274447951</v>
      </c>
      <c r="J191" s="24"/>
      <c r="K191" s="3"/>
      <c r="L191" s="3"/>
      <c r="M191" s="3">
        <f>SUM(Liquor!$J191:$L191)</f>
        <v>0</v>
      </c>
      <c r="N191" s="9">
        <f t="shared" si="5"/>
        <v>0</v>
      </c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">
      <c r="A192" s="24" t="s">
        <v>58</v>
      </c>
      <c r="B192" s="4">
        <v>25.36</v>
      </c>
      <c r="C192" s="49" t="s">
        <v>208</v>
      </c>
      <c r="D192" s="25" t="s">
        <v>183</v>
      </c>
      <c r="E192" s="9">
        <v>25.28</v>
      </c>
      <c r="F192" s="9">
        <f t="shared" si="6"/>
        <v>0.99684542586750791</v>
      </c>
      <c r="G192" s="9">
        <f>Liquor!$F192*1.5</f>
        <v>1.4952681388012619</v>
      </c>
      <c r="H192" s="9">
        <v>12</v>
      </c>
      <c r="I192" s="6">
        <f>Liquor!$G192/Liquor!$H192</f>
        <v>0.12460567823343849</v>
      </c>
      <c r="J192" s="24"/>
      <c r="K192" s="3"/>
      <c r="L192" s="3"/>
      <c r="M192" s="3">
        <f>SUM(Liquor!$J192:$L192)</f>
        <v>0</v>
      </c>
      <c r="N192" s="9">
        <f t="shared" si="5"/>
        <v>0</v>
      </c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 x14ac:dyDescent="0.2">
      <c r="A193" s="41" t="s">
        <v>58</v>
      </c>
      <c r="B193" s="42">
        <v>25.36</v>
      </c>
      <c r="C193" s="14" t="s">
        <v>209</v>
      </c>
      <c r="D193" s="14" t="s">
        <v>183</v>
      </c>
      <c r="E193" s="36">
        <v>19.09</v>
      </c>
      <c r="F193" s="36">
        <f t="shared" si="6"/>
        <v>0.75276025236593058</v>
      </c>
      <c r="G193" s="36">
        <f>Liquor!$F193*1.5</f>
        <v>1.1291403785488958</v>
      </c>
      <c r="H193" s="45">
        <v>10</v>
      </c>
      <c r="I193" s="16">
        <f>Liquor!$G193/Liquor!$H193</f>
        <v>0.11291403785488958</v>
      </c>
      <c r="J193" s="10"/>
      <c r="K193" s="18"/>
      <c r="L193" s="18"/>
      <c r="M193" s="18">
        <f>SUM(Liquor!$J193:$L193)</f>
        <v>0</v>
      </c>
      <c r="N193" s="36">
        <f t="shared" si="5"/>
        <v>0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">
      <c r="A194" s="41" t="s">
        <v>58</v>
      </c>
      <c r="B194" s="42">
        <v>25.36</v>
      </c>
      <c r="C194" s="14" t="s">
        <v>210</v>
      </c>
      <c r="D194" s="14" t="s">
        <v>183</v>
      </c>
      <c r="E194" s="36">
        <v>25.56</v>
      </c>
      <c r="F194" s="36">
        <f t="shared" si="6"/>
        <v>1.0078864353312302</v>
      </c>
      <c r="G194" s="36">
        <f>Liquor!$F194*1.5</f>
        <v>1.5118296529968454</v>
      </c>
      <c r="H194" s="36">
        <v>10</v>
      </c>
      <c r="I194" s="16">
        <f>Liquor!$G194/Liquor!$H194</f>
        <v>0.15118296529968453</v>
      </c>
      <c r="J194" s="10"/>
      <c r="K194" s="18"/>
      <c r="L194" s="18"/>
      <c r="M194" s="18">
        <f>SUM(Liquor!$J194:$L194)</f>
        <v>0</v>
      </c>
      <c r="N194" s="36">
        <f t="shared" si="5"/>
        <v>0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">
      <c r="A195" s="41" t="s">
        <v>58</v>
      </c>
      <c r="B195" s="42">
        <v>25.36</v>
      </c>
      <c r="C195" s="14" t="s">
        <v>211</v>
      </c>
      <c r="D195" s="14" t="s">
        <v>183</v>
      </c>
      <c r="E195" s="36">
        <v>8.49</v>
      </c>
      <c r="F195" s="36">
        <f t="shared" si="6"/>
        <v>0.33477917981072558</v>
      </c>
      <c r="G195" s="36">
        <f>Liquor!$F195*1.5</f>
        <v>0.50216876971608837</v>
      </c>
      <c r="H195" s="36">
        <v>3</v>
      </c>
      <c r="I195" s="16">
        <f>Liquor!$G195/Liquor!$H195</f>
        <v>0.16738958990536279</v>
      </c>
      <c r="J195" s="10"/>
      <c r="K195" s="18"/>
      <c r="L195" s="18"/>
      <c r="M195" s="18">
        <f>SUM(Liquor!$J195:$L195)</f>
        <v>0</v>
      </c>
      <c r="N195" s="36">
        <f t="shared" si="5"/>
        <v>0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">
      <c r="A196" s="34" t="s">
        <v>44</v>
      </c>
      <c r="B196" s="35">
        <v>33.814</v>
      </c>
      <c r="C196" s="14" t="s">
        <v>212</v>
      </c>
      <c r="D196" s="14" t="s">
        <v>183</v>
      </c>
      <c r="E196" s="36">
        <v>10.54</v>
      </c>
      <c r="F196" s="36">
        <f t="shared" si="6"/>
        <v>0.31170521085940733</v>
      </c>
      <c r="G196" s="36">
        <f>Liquor!$F196*1.5</f>
        <v>0.46755781628911097</v>
      </c>
      <c r="H196" s="36">
        <v>10</v>
      </c>
      <c r="I196" s="16">
        <f>Liquor!$G196/Liquor!$H196</f>
        <v>4.67557816289111E-2</v>
      </c>
      <c r="J196" s="12"/>
      <c r="K196" s="18"/>
      <c r="L196" s="18"/>
      <c r="M196" s="18">
        <f>SUM(Liquor!$J196:$L196)</f>
        <v>0</v>
      </c>
      <c r="N196" s="36">
        <f t="shared" si="5"/>
        <v>0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">
      <c r="A197" s="24" t="s">
        <v>58</v>
      </c>
      <c r="B197" s="4">
        <v>25.36</v>
      </c>
      <c r="C197" s="25" t="s">
        <v>213</v>
      </c>
      <c r="D197" s="25" t="s">
        <v>183</v>
      </c>
      <c r="E197" s="9">
        <v>15</v>
      </c>
      <c r="F197" s="9">
        <f t="shared" si="6"/>
        <v>0.59148264984227128</v>
      </c>
      <c r="G197" s="9">
        <f>Liquor!$F197*1.5</f>
        <v>0.88722397476340698</v>
      </c>
      <c r="H197" s="9">
        <v>9</v>
      </c>
      <c r="I197" s="6">
        <f>Liquor!$G197/Liquor!$H197</f>
        <v>9.8580441640378547E-2</v>
      </c>
      <c r="J197" s="24"/>
      <c r="K197" s="3"/>
      <c r="L197" s="3"/>
      <c r="M197" s="3">
        <f>SUM(Liquor!$J197:$L197)</f>
        <v>0</v>
      </c>
      <c r="N197" s="9">
        <f t="shared" si="5"/>
        <v>0</v>
      </c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 x14ac:dyDescent="0.2">
      <c r="A198" s="24" t="s">
        <v>58</v>
      </c>
      <c r="B198" s="4">
        <v>25.36</v>
      </c>
      <c r="C198" s="25" t="s">
        <v>214</v>
      </c>
      <c r="D198" s="25" t="s">
        <v>183</v>
      </c>
      <c r="E198" s="9">
        <v>9.2899999999999991</v>
      </c>
      <c r="F198" s="9">
        <f t="shared" si="6"/>
        <v>0.36632492113564669</v>
      </c>
      <c r="G198" s="9">
        <f>Liquor!$F198*1.5</f>
        <v>0.54948738170347</v>
      </c>
      <c r="H198" s="9">
        <v>10</v>
      </c>
      <c r="I198" s="6">
        <f>Liquor!$G198/Liquor!$H198</f>
        <v>5.4948738170346997E-2</v>
      </c>
      <c r="J198" s="24"/>
      <c r="K198" s="3"/>
      <c r="L198" s="3"/>
      <c r="M198" s="3">
        <f>SUM(Liquor!$J198:$L198)</f>
        <v>0</v>
      </c>
      <c r="N198" s="9">
        <f t="shared" si="5"/>
        <v>0</v>
      </c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 x14ac:dyDescent="0.2">
      <c r="A199" s="24" t="s">
        <v>44</v>
      </c>
      <c r="B199" s="4">
        <v>33.814</v>
      </c>
      <c r="C199" s="25" t="s">
        <v>215</v>
      </c>
      <c r="D199" s="25" t="s">
        <v>183</v>
      </c>
      <c r="E199" s="9">
        <v>29.53</v>
      </c>
      <c r="F199" s="9">
        <f t="shared" si="6"/>
        <v>0.87330691429585383</v>
      </c>
      <c r="G199" s="9">
        <f>Liquor!$F199*1.5</f>
        <v>1.3099603714437809</v>
      </c>
      <c r="H199" s="9">
        <v>10</v>
      </c>
      <c r="I199" s="6">
        <f>Liquor!$G199/Liquor!$H199</f>
        <v>0.13099603714437807</v>
      </c>
      <c r="J199" s="24"/>
      <c r="K199" s="3"/>
      <c r="L199" s="3"/>
      <c r="M199" s="3">
        <f>SUM(Liquor!$J199:$L199)</f>
        <v>0</v>
      </c>
      <c r="N199" s="9">
        <f t="shared" si="5"/>
        <v>0</v>
      </c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 x14ac:dyDescent="0.2">
      <c r="A200" s="24" t="s">
        <v>44</v>
      </c>
      <c r="B200" s="4">
        <v>33.814</v>
      </c>
      <c r="C200" s="25" t="s">
        <v>216</v>
      </c>
      <c r="D200" s="25" t="s">
        <v>183</v>
      </c>
      <c r="E200" s="9">
        <v>38.26</v>
      </c>
      <c r="F200" s="9">
        <f t="shared" si="6"/>
        <v>1.1314840007097651</v>
      </c>
      <c r="G200" s="9">
        <f>Liquor!$F200*1.5</f>
        <v>1.6972260010646476</v>
      </c>
      <c r="H200" s="39">
        <v>11</v>
      </c>
      <c r="I200" s="6">
        <f>Liquor!$G200/Liquor!$H200</f>
        <v>0.15429327282405889</v>
      </c>
      <c r="J200" s="24"/>
      <c r="K200" s="3"/>
      <c r="L200" s="3"/>
      <c r="M200" s="3">
        <f>SUM(Liquor!$J200:$L200)</f>
        <v>0</v>
      </c>
      <c r="N200" s="9">
        <f t="shared" si="5"/>
        <v>0</v>
      </c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 x14ac:dyDescent="0.2">
      <c r="A201" s="24" t="s">
        <v>58</v>
      </c>
      <c r="B201" s="4">
        <v>25.36</v>
      </c>
      <c r="C201" s="43" t="s">
        <v>217</v>
      </c>
      <c r="D201" s="25" t="s">
        <v>183</v>
      </c>
      <c r="E201" s="9">
        <v>29.53</v>
      </c>
      <c r="F201" s="9">
        <f t="shared" si="6"/>
        <v>1.1644321766561514</v>
      </c>
      <c r="G201" s="9">
        <f>Liquor!$F201*1.5</f>
        <v>1.746648264984227</v>
      </c>
      <c r="H201" s="9">
        <v>12</v>
      </c>
      <c r="I201" s="6">
        <f>Liquor!$G201/Liquor!$H201</f>
        <v>0.14555402208201892</v>
      </c>
      <c r="J201" s="24"/>
      <c r="K201" s="3"/>
      <c r="L201" s="3"/>
      <c r="M201" s="3">
        <f>SUM(Liquor!$J201:$L201)</f>
        <v>0</v>
      </c>
      <c r="N201" s="9">
        <f t="shared" si="5"/>
        <v>0</v>
      </c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 x14ac:dyDescent="0.2">
      <c r="A202" s="24" t="s">
        <v>44</v>
      </c>
      <c r="B202" s="4">
        <v>33.814</v>
      </c>
      <c r="C202" s="25" t="s">
        <v>217</v>
      </c>
      <c r="D202" s="25" t="s">
        <v>183</v>
      </c>
      <c r="E202" s="9">
        <v>35.78</v>
      </c>
      <c r="F202" s="9">
        <f t="shared" si="6"/>
        <v>1.0581415981546105</v>
      </c>
      <c r="G202" s="9">
        <f>Liquor!$F202*1.5</f>
        <v>1.5872123972319159</v>
      </c>
      <c r="H202" s="9">
        <v>12</v>
      </c>
      <c r="I202" s="6">
        <f>Liquor!$G202/Liquor!$H202</f>
        <v>0.13226769976932631</v>
      </c>
      <c r="J202" s="24"/>
      <c r="K202" s="3"/>
      <c r="L202" s="3"/>
      <c r="M202" s="3">
        <f>SUM(Liquor!$J202:$L202)</f>
        <v>0</v>
      </c>
      <c r="N202" s="9">
        <f t="shared" si="5"/>
        <v>0</v>
      </c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 x14ac:dyDescent="0.2">
      <c r="A203" s="24" t="s">
        <v>44</v>
      </c>
      <c r="B203" s="4">
        <v>33.814</v>
      </c>
      <c r="C203" s="25" t="s">
        <v>218</v>
      </c>
      <c r="D203" s="25" t="s">
        <v>183</v>
      </c>
      <c r="E203" s="9">
        <v>32.17</v>
      </c>
      <c r="F203" s="9">
        <f t="shared" si="6"/>
        <v>0.95138108475779271</v>
      </c>
      <c r="G203" s="9">
        <f>Liquor!$F203*1.5</f>
        <v>1.427071627136689</v>
      </c>
      <c r="H203" s="9">
        <v>9</v>
      </c>
      <c r="I203" s="6">
        <f>Liquor!$G203/Liquor!$H203</f>
        <v>0.15856351412629877</v>
      </c>
      <c r="J203" s="24"/>
      <c r="K203" s="3"/>
      <c r="L203" s="3"/>
      <c r="M203" s="30">
        <f>SUM(Liquor!$J203:$L203)</f>
        <v>0</v>
      </c>
      <c r="N203" s="9">
        <f t="shared" si="5"/>
        <v>0</v>
      </c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" customHeight="1" x14ac:dyDescent="0.2">
      <c r="A204" s="24" t="s">
        <v>58</v>
      </c>
      <c r="B204" s="4">
        <v>25.36</v>
      </c>
      <c r="C204" s="25" t="s">
        <v>219</v>
      </c>
      <c r="D204" s="25" t="s">
        <v>183</v>
      </c>
      <c r="E204" s="9">
        <v>34.47</v>
      </c>
      <c r="F204" s="9">
        <f t="shared" si="6"/>
        <v>1.3592271293375393</v>
      </c>
      <c r="G204" s="9">
        <f>Liquor!$F204*1.5</f>
        <v>2.0388406940063089</v>
      </c>
      <c r="H204" s="39">
        <v>12</v>
      </c>
      <c r="I204" s="6">
        <f>Liquor!$G204/Liquor!$H204</f>
        <v>0.16990339116719241</v>
      </c>
      <c r="J204" s="24"/>
      <c r="K204" s="3"/>
      <c r="L204" s="3"/>
      <c r="M204" s="3">
        <f>SUM(Liquor!$J204:$L204)</f>
        <v>0</v>
      </c>
      <c r="N204" s="9">
        <f t="shared" si="5"/>
        <v>0</v>
      </c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 x14ac:dyDescent="0.2">
      <c r="A205" s="24" t="s">
        <v>58</v>
      </c>
      <c r="B205" s="4">
        <v>25.36</v>
      </c>
      <c r="C205" s="25" t="s">
        <v>220</v>
      </c>
      <c r="D205" s="25" t="s">
        <v>183</v>
      </c>
      <c r="E205" s="9">
        <v>33.32</v>
      </c>
      <c r="F205" s="9">
        <f t="shared" si="6"/>
        <v>1.3138801261829653</v>
      </c>
      <c r="G205" s="9">
        <f>Liquor!$F205*1.5</f>
        <v>1.9708201892744479</v>
      </c>
      <c r="H205" s="39">
        <v>12</v>
      </c>
      <c r="I205" s="6">
        <f>Liquor!$G205/Liquor!$H205</f>
        <v>0.16423501577287067</v>
      </c>
      <c r="J205" s="24"/>
      <c r="K205" s="3"/>
      <c r="L205" s="3"/>
      <c r="M205" s="3">
        <f>SUM(Liquor!$J205:$L205)</f>
        <v>0</v>
      </c>
      <c r="N205" s="9">
        <f t="shared" si="5"/>
        <v>0</v>
      </c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 x14ac:dyDescent="0.2">
      <c r="A206" s="24" t="s">
        <v>44</v>
      </c>
      <c r="B206" s="4">
        <v>33.814</v>
      </c>
      <c r="C206" s="25" t="s">
        <v>221</v>
      </c>
      <c r="D206" s="25" t="s">
        <v>183</v>
      </c>
      <c r="E206" s="9">
        <v>37.46</v>
      </c>
      <c r="F206" s="9">
        <f t="shared" si="6"/>
        <v>1.1078251611758443</v>
      </c>
      <c r="G206" s="9">
        <f>Liquor!$F206*1.5</f>
        <v>1.6617377417637664</v>
      </c>
      <c r="H206" s="39">
        <v>11</v>
      </c>
      <c r="I206" s="6">
        <f>Liquor!$G206/Liquor!$H206</f>
        <v>0.15106706743306966</v>
      </c>
      <c r="J206" s="24"/>
      <c r="K206" s="3"/>
      <c r="L206" s="3"/>
      <c r="M206" s="3">
        <f>SUM(Liquor!$J206:$L206)</f>
        <v>0</v>
      </c>
      <c r="N206" s="9">
        <f t="shared" si="5"/>
        <v>0</v>
      </c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 x14ac:dyDescent="0.2">
      <c r="A207" s="24" t="s">
        <v>58</v>
      </c>
      <c r="B207" s="4">
        <v>25.36</v>
      </c>
      <c r="C207" s="25" t="s">
        <v>222</v>
      </c>
      <c r="D207" s="25" t="s">
        <v>183</v>
      </c>
      <c r="E207" s="9">
        <v>7.27</v>
      </c>
      <c r="F207" s="9">
        <f t="shared" si="6"/>
        <v>0.28667192429022081</v>
      </c>
      <c r="G207" s="9">
        <f>Liquor!$F207*1.5</f>
        <v>0.43000788643533122</v>
      </c>
      <c r="H207" s="9">
        <v>9</v>
      </c>
      <c r="I207" s="6">
        <f>Liquor!$G207/Liquor!$H207</f>
        <v>4.7778654048370138E-2</v>
      </c>
      <c r="J207" s="24"/>
      <c r="K207" s="3"/>
      <c r="L207" s="3"/>
      <c r="M207" s="3">
        <f>SUM(Liquor!$J207:$L207)</f>
        <v>0</v>
      </c>
      <c r="N207" s="9">
        <f t="shared" si="5"/>
        <v>0</v>
      </c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 x14ac:dyDescent="0.2">
      <c r="A208" s="24" t="s">
        <v>58</v>
      </c>
      <c r="B208" s="4">
        <v>25.36</v>
      </c>
      <c r="C208" s="25" t="s">
        <v>223</v>
      </c>
      <c r="D208" s="25" t="s">
        <v>183</v>
      </c>
      <c r="E208" s="9">
        <v>14.72</v>
      </c>
      <c r="F208" s="9">
        <f t="shared" si="6"/>
        <v>0.58044164037854895</v>
      </c>
      <c r="G208" s="9">
        <f>Liquor!$F208*1.5</f>
        <v>0.87066246056782348</v>
      </c>
      <c r="H208" s="9">
        <v>7</v>
      </c>
      <c r="I208" s="6">
        <f>Liquor!$G208/Liquor!$H208</f>
        <v>0.12438035150968907</v>
      </c>
      <c r="J208" s="24"/>
      <c r="K208" s="3"/>
      <c r="L208" s="3"/>
      <c r="M208" s="30">
        <f>SUM(Liquor!$J208:$L208)</f>
        <v>0</v>
      </c>
      <c r="N208" s="9">
        <f t="shared" si="5"/>
        <v>0</v>
      </c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 x14ac:dyDescent="0.2">
      <c r="A209" s="24" t="s">
        <v>58</v>
      </c>
      <c r="B209" s="4">
        <v>25.36</v>
      </c>
      <c r="C209" s="25" t="s">
        <v>224</v>
      </c>
      <c r="D209" s="25" t="s">
        <v>183</v>
      </c>
      <c r="E209" s="9">
        <v>34.46</v>
      </c>
      <c r="F209" s="9">
        <f t="shared" si="6"/>
        <v>1.3588328075709779</v>
      </c>
      <c r="G209" s="9">
        <f>Liquor!$F209*1.5</f>
        <v>2.038249211356467</v>
      </c>
      <c r="H209" s="39">
        <v>12</v>
      </c>
      <c r="I209" s="6">
        <f>Liquor!$G209/Liquor!$H209</f>
        <v>0.16985410094637224</v>
      </c>
      <c r="J209" s="24"/>
      <c r="K209" s="3"/>
      <c r="L209" s="3"/>
      <c r="M209" s="3">
        <f>SUM(Liquor!$J209:$L209)</f>
        <v>0</v>
      </c>
      <c r="N209" s="9">
        <f t="shared" si="5"/>
        <v>0</v>
      </c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 x14ac:dyDescent="0.2">
      <c r="A210" s="24" t="s">
        <v>58</v>
      </c>
      <c r="B210" s="4">
        <v>25.36</v>
      </c>
      <c r="C210" s="67" t="s">
        <v>225</v>
      </c>
      <c r="D210" s="25" t="s">
        <v>183</v>
      </c>
      <c r="E210" s="9">
        <v>25.09</v>
      </c>
      <c r="F210" s="9">
        <f t="shared" si="6"/>
        <v>0.98935331230283918</v>
      </c>
      <c r="G210" s="9">
        <f>Liquor!$F210*1.5</f>
        <v>1.4840299684542588</v>
      </c>
      <c r="H210" s="9">
        <v>10</v>
      </c>
      <c r="I210" s="6">
        <f>Liquor!$G210/Liquor!$H210</f>
        <v>0.14840299684542588</v>
      </c>
      <c r="J210" s="24"/>
      <c r="K210" s="3"/>
      <c r="L210" s="3"/>
      <c r="M210" s="3">
        <f>SUM(Liquor!$J210:$L210)</f>
        <v>0</v>
      </c>
      <c r="N210" s="9">
        <f t="shared" si="5"/>
        <v>0</v>
      </c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 x14ac:dyDescent="0.2">
      <c r="A211" s="24" t="s">
        <v>58</v>
      </c>
      <c r="B211" s="4">
        <v>25.36</v>
      </c>
      <c r="C211" s="25" t="s">
        <v>226</v>
      </c>
      <c r="D211" s="25" t="s">
        <v>183</v>
      </c>
      <c r="E211" s="9">
        <v>25.09</v>
      </c>
      <c r="F211" s="9">
        <f t="shared" si="6"/>
        <v>0.98935331230283918</v>
      </c>
      <c r="G211" s="9">
        <f>Liquor!$F211*1.5</f>
        <v>1.4840299684542588</v>
      </c>
      <c r="H211" s="9">
        <v>9</v>
      </c>
      <c r="I211" s="6">
        <f>Liquor!$G211/Liquor!$H211</f>
        <v>0.16489221871713988</v>
      </c>
      <c r="J211" s="24"/>
      <c r="K211" s="3"/>
      <c r="L211" s="3"/>
      <c r="M211" s="3">
        <f>SUM(Liquor!$J211:$L211)</f>
        <v>0</v>
      </c>
      <c r="N211" s="9">
        <f t="shared" si="5"/>
        <v>0</v>
      </c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 x14ac:dyDescent="0.2">
      <c r="A212" s="24" t="s">
        <v>58</v>
      </c>
      <c r="B212" s="4">
        <v>25.36</v>
      </c>
      <c r="C212" s="14" t="s">
        <v>227</v>
      </c>
      <c r="D212" s="25" t="s">
        <v>183</v>
      </c>
      <c r="E212" s="9">
        <v>24.51</v>
      </c>
      <c r="F212" s="9">
        <f t="shared" si="6"/>
        <v>0.96648264984227139</v>
      </c>
      <c r="G212" s="9">
        <f>Liquor!$F212*1.5</f>
        <v>1.449723974763407</v>
      </c>
      <c r="H212" s="9">
        <v>8</v>
      </c>
      <c r="I212" s="6">
        <f>Liquor!$G212/Liquor!$H212</f>
        <v>0.18121549684542587</v>
      </c>
      <c r="J212" s="24"/>
      <c r="K212" s="3"/>
      <c r="L212" s="3"/>
      <c r="M212" s="30">
        <f>SUM(Liquor!$J212:$L212)</f>
        <v>0</v>
      </c>
      <c r="N212" s="9">
        <f t="shared" si="5"/>
        <v>0</v>
      </c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 x14ac:dyDescent="0.2">
      <c r="A213" s="24" t="s">
        <v>58</v>
      </c>
      <c r="B213" s="4">
        <v>25.36</v>
      </c>
      <c r="C213" s="14" t="s">
        <v>228</v>
      </c>
      <c r="D213" s="25" t="s">
        <v>183</v>
      </c>
      <c r="E213" s="9">
        <v>20</v>
      </c>
      <c r="F213" s="9">
        <f t="shared" si="6"/>
        <v>0.78864353312302837</v>
      </c>
      <c r="G213" s="9">
        <f>Liquor!$F213*1.5</f>
        <v>1.1829652996845426</v>
      </c>
      <c r="H213" s="9">
        <v>8</v>
      </c>
      <c r="I213" s="6">
        <f>Liquor!$G213/Liquor!$H213</f>
        <v>0.14787066246056782</v>
      </c>
      <c r="J213" s="24"/>
      <c r="K213" s="3"/>
      <c r="L213" s="3"/>
      <c r="M213" s="3">
        <f>SUM(Liquor!$J213:$L213)</f>
        <v>0</v>
      </c>
      <c r="N213" s="9">
        <f t="shared" si="5"/>
        <v>0</v>
      </c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 x14ac:dyDescent="0.2">
      <c r="A214" s="24" t="s">
        <v>58</v>
      </c>
      <c r="B214" s="4">
        <v>25.36</v>
      </c>
      <c r="C214" s="25" t="s">
        <v>229</v>
      </c>
      <c r="D214" s="25" t="s">
        <v>183</v>
      </c>
      <c r="E214" s="9">
        <v>15.25</v>
      </c>
      <c r="F214" s="9">
        <f t="shared" si="6"/>
        <v>0.60134069400630918</v>
      </c>
      <c r="G214" s="9">
        <f>Liquor!$F214*1.5</f>
        <v>0.90201104100946372</v>
      </c>
      <c r="H214" s="9">
        <v>8</v>
      </c>
      <c r="I214" s="6">
        <f>Liquor!$G214/Liquor!$H214</f>
        <v>0.11275138012618297</v>
      </c>
      <c r="J214" s="24"/>
      <c r="K214" s="3"/>
      <c r="L214" s="3"/>
      <c r="M214" s="30">
        <f>SUM(Liquor!$J214:$L214)+$I451</f>
        <v>0</v>
      </c>
      <c r="N214" s="9">
        <f t="shared" si="5"/>
        <v>0</v>
      </c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 x14ac:dyDescent="0.2">
      <c r="A215" s="24" t="s">
        <v>44</v>
      </c>
      <c r="B215" s="4">
        <v>33.814</v>
      </c>
      <c r="C215" s="25" t="s">
        <v>230</v>
      </c>
      <c r="D215" s="25" t="s">
        <v>183</v>
      </c>
      <c r="E215" s="9">
        <v>36.299999999999997</v>
      </c>
      <c r="F215" s="9">
        <f t="shared" si="6"/>
        <v>1.0735198438516589</v>
      </c>
      <c r="G215" s="9">
        <f>Liquor!$F215*1.5</f>
        <v>1.6102797657774883</v>
      </c>
      <c r="H215" s="9">
        <v>12</v>
      </c>
      <c r="I215" s="6">
        <f>Liquor!$G215/Liquor!$H215</f>
        <v>0.13418998048145736</v>
      </c>
      <c r="J215" s="24"/>
      <c r="K215" s="3"/>
      <c r="L215" s="3"/>
      <c r="M215" s="3">
        <f>SUM(Liquor!$J215:$L215)</f>
        <v>0</v>
      </c>
      <c r="N215" s="9">
        <f t="shared" si="5"/>
        <v>0</v>
      </c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 x14ac:dyDescent="0.2">
      <c r="A216" s="41" t="s">
        <v>58</v>
      </c>
      <c r="B216" s="42">
        <v>25.36</v>
      </c>
      <c r="C216" s="14" t="s">
        <v>231</v>
      </c>
      <c r="D216" s="14" t="s">
        <v>183</v>
      </c>
      <c r="E216" s="36">
        <v>26.43</v>
      </c>
      <c r="F216" s="36">
        <f t="shared" si="6"/>
        <v>1.0421924290220821</v>
      </c>
      <c r="G216" s="36">
        <f>Liquor!$F216*1.5</f>
        <v>1.5632886435331232</v>
      </c>
      <c r="H216" s="36">
        <v>8</v>
      </c>
      <c r="I216" s="16">
        <f>Liquor!$G216/Liquor!$H216</f>
        <v>0.19541108044164041</v>
      </c>
      <c r="J216" s="10"/>
      <c r="K216" s="18"/>
      <c r="L216" s="18"/>
      <c r="M216" s="18">
        <f>SUM(Liquor!$J216:$L216)</f>
        <v>0</v>
      </c>
      <c r="N216" s="36">
        <f t="shared" si="5"/>
        <v>0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41" t="s">
        <v>58</v>
      </c>
      <c r="B217" s="42">
        <v>25.36</v>
      </c>
      <c r="C217" s="68" t="s">
        <v>232</v>
      </c>
      <c r="D217" s="14" t="s">
        <v>183</v>
      </c>
      <c r="E217" s="36">
        <v>36.19</v>
      </c>
      <c r="F217" s="36">
        <f t="shared" si="6"/>
        <v>1.4270504731861198</v>
      </c>
      <c r="G217" s="36">
        <f>Liquor!$F217*1.5</f>
        <v>2.1405757097791795</v>
      </c>
      <c r="H217" s="36">
        <v>12</v>
      </c>
      <c r="I217" s="16">
        <f>Liquor!$G217/Liquor!$H217</f>
        <v>0.17838130914826497</v>
      </c>
      <c r="J217" s="10"/>
      <c r="K217" s="18"/>
      <c r="L217" s="65"/>
      <c r="M217" s="18">
        <f>SUM(Liquor!$J217:$L217)</f>
        <v>0</v>
      </c>
      <c r="N217" s="36">
        <f t="shared" si="5"/>
        <v>0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24" t="s">
        <v>58</v>
      </c>
      <c r="B218" s="4">
        <v>25.36</v>
      </c>
      <c r="C218" s="14" t="s">
        <v>233</v>
      </c>
      <c r="D218" s="25" t="s">
        <v>183</v>
      </c>
      <c r="E218" s="9">
        <v>37.92</v>
      </c>
      <c r="F218" s="9">
        <f t="shared" si="6"/>
        <v>1.4952681388012619</v>
      </c>
      <c r="G218" s="9">
        <f>Liquor!$F218*1.5</f>
        <v>2.242902208201893</v>
      </c>
      <c r="H218" s="9">
        <v>11</v>
      </c>
      <c r="I218" s="6">
        <f>Liquor!$G218/Liquor!$H218</f>
        <v>0.20390020074562665</v>
      </c>
      <c r="J218" s="24"/>
      <c r="K218" s="3"/>
      <c r="L218" s="3"/>
      <c r="M218" s="3">
        <f>SUM(Liquor!$J218:$L218)</f>
        <v>0</v>
      </c>
      <c r="N218" s="9">
        <f t="shared" si="5"/>
        <v>0</v>
      </c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">
      <c r="A219" s="24" t="s">
        <v>58</v>
      </c>
      <c r="B219" s="4">
        <v>25.36</v>
      </c>
      <c r="C219" s="25" t="s">
        <v>234</v>
      </c>
      <c r="D219" s="25" t="s">
        <v>183</v>
      </c>
      <c r="E219" s="9">
        <v>32.17</v>
      </c>
      <c r="F219" s="9">
        <f t="shared" si="6"/>
        <v>1.2685331230283912</v>
      </c>
      <c r="G219" s="9">
        <f>Liquor!$F219*1.5</f>
        <v>1.9027996845425867</v>
      </c>
      <c r="H219" s="39">
        <v>12</v>
      </c>
      <c r="I219" s="6">
        <f>Liquor!$G219/Liquor!$H219</f>
        <v>0.1585666403785489</v>
      </c>
      <c r="J219" s="24"/>
      <c r="K219" s="3"/>
      <c r="L219" s="3"/>
      <c r="M219" s="3">
        <f>SUM(Liquor!$J219:$L219)</f>
        <v>0</v>
      </c>
      <c r="N219" s="9">
        <f t="shared" si="5"/>
        <v>0</v>
      </c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">
      <c r="A220" s="24" t="s">
        <v>58</v>
      </c>
      <c r="B220" s="4">
        <v>25.36</v>
      </c>
      <c r="C220" s="25" t="s">
        <v>235</v>
      </c>
      <c r="D220" s="25" t="s">
        <v>183</v>
      </c>
      <c r="E220" s="9">
        <v>33.409999999999997</v>
      </c>
      <c r="F220" s="9">
        <f t="shared" si="6"/>
        <v>1.3174290220820188</v>
      </c>
      <c r="G220" s="9">
        <f>Liquor!$F220*1.5</f>
        <v>1.9761435331230284</v>
      </c>
      <c r="H220" s="39">
        <v>12</v>
      </c>
      <c r="I220" s="6">
        <f>Liquor!$G220/Liquor!$H220</f>
        <v>0.16467862776025236</v>
      </c>
      <c r="J220" s="24"/>
      <c r="K220" s="3"/>
      <c r="L220" s="3"/>
      <c r="M220" s="3">
        <f>SUM(Liquor!$J220:$L220)</f>
        <v>0</v>
      </c>
      <c r="N220" s="9">
        <f t="shared" si="5"/>
        <v>0</v>
      </c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">
      <c r="A221" s="34" t="s">
        <v>44</v>
      </c>
      <c r="B221" s="35">
        <v>33.814</v>
      </c>
      <c r="C221" s="14" t="s">
        <v>236</v>
      </c>
      <c r="D221" s="14" t="s">
        <v>183</v>
      </c>
      <c r="E221" s="36">
        <v>30.32</v>
      </c>
      <c r="F221" s="36">
        <f t="shared" si="6"/>
        <v>0.89667001833560067</v>
      </c>
      <c r="G221" s="36">
        <f>Liquor!$F221*1.5</f>
        <v>1.3450050275034009</v>
      </c>
      <c r="H221" s="36">
        <v>11</v>
      </c>
      <c r="I221" s="16">
        <f>Liquor!$G221/Liquor!$H221</f>
        <v>0.12227318431849099</v>
      </c>
      <c r="J221" s="10"/>
      <c r="K221" s="18"/>
      <c r="L221" s="18"/>
      <c r="M221" s="18">
        <f>SUM(Liquor!$J221:$L221)</f>
        <v>0</v>
      </c>
      <c r="N221" s="36">
        <f t="shared" si="5"/>
        <v>0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">
      <c r="A222" s="24" t="s">
        <v>58</v>
      </c>
      <c r="B222" s="4">
        <v>25.36</v>
      </c>
      <c r="C222" s="14" t="s">
        <v>237</v>
      </c>
      <c r="D222" s="25" t="s">
        <v>183</v>
      </c>
      <c r="E222" s="9">
        <v>29.16</v>
      </c>
      <c r="F222" s="9">
        <f t="shared" si="6"/>
        <v>1.1498422712933754</v>
      </c>
      <c r="G222" s="9">
        <f>Liquor!$F222*1.5</f>
        <v>1.724763406940063</v>
      </c>
      <c r="H222" s="9">
        <v>10</v>
      </c>
      <c r="I222" s="6">
        <f>Liquor!$G222/Liquor!$H222</f>
        <v>0.1724763406940063</v>
      </c>
      <c r="J222" s="24"/>
      <c r="K222" s="3"/>
      <c r="L222" s="3"/>
      <c r="M222" s="3">
        <f>SUM(Liquor!$J222:$L222)</f>
        <v>0</v>
      </c>
      <c r="N222" s="9">
        <f t="shared" si="5"/>
        <v>0</v>
      </c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">
      <c r="A223" s="34" t="s">
        <v>44</v>
      </c>
      <c r="B223" s="35">
        <v>33.814</v>
      </c>
      <c r="C223" s="14" t="s">
        <v>238</v>
      </c>
      <c r="D223" s="14" t="s">
        <v>183</v>
      </c>
      <c r="E223" s="36">
        <v>30.74</v>
      </c>
      <c r="F223" s="36">
        <f t="shared" si="6"/>
        <v>0.90909090909090906</v>
      </c>
      <c r="G223" s="36">
        <f>Liquor!$F223*1.5</f>
        <v>1.3636363636363635</v>
      </c>
      <c r="H223" s="36">
        <v>10</v>
      </c>
      <c r="I223" s="16">
        <f>Liquor!$G223/Liquor!$H223</f>
        <v>0.13636363636363635</v>
      </c>
      <c r="J223" s="10"/>
      <c r="K223" s="18"/>
      <c r="L223" s="18"/>
      <c r="M223" s="18">
        <f>SUM(Liquor!$J223:$L223)</f>
        <v>0</v>
      </c>
      <c r="N223" s="36">
        <f t="shared" si="5"/>
        <v>0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">
      <c r="A224" s="24" t="s">
        <v>58</v>
      </c>
      <c r="B224" s="4">
        <v>25.36</v>
      </c>
      <c r="C224" s="25" t="s">
        <v>239</v>
      </c>
      <c r="D224" s="25" t="s">
        <v>183</v>
      </c>
      <c r="E224" s="9">
        <v>22.4</v>
      </c>
      <c r="F224" s="9">
        <f t="shared" si="6"/>
        <v>0.88328075709779175</v>
      </c>
      <c r="G224" s="9">
        <f>Liquor!$F224*1.5</f>
        <v>1.3249211356466877</v>
      </c>
      <c r="H224" s="9">
        <v>9</v>
      </c>
      <c r="I224" s="6">
        <f>Liquor!$G224/Liquor!$H224</f>
        <v>0.14721345951629863</v>
      </c>
      <c r="J224" s="24"/>
      <c r="K224" s="3"/>
      <c r="L224" s="3"/>
      <c r="M224" s="3">
        <f>SUM(Liquor!$J224:$L224)</f>
        <v>0</v>
      </c>
      <c r="N224" s="9">
        <f t="shared" si="5"/>
        <v>0</v>
      </c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">
      <c r="A225" s="24" t="s">
        <v>58</v>
      </c>
      <c r="B225" s="4">
        <v>25.36</v>
      </c>
      <c r="C225" s="69" t="s">
        <v>240</v>
      </c>
      <c r="D225" s="25" t="s">
        <v>183</v>
      </c>
      <c r="E225" s="9">
        <v>16.34</v>
      </c>
      <c r="F225" s="9">
        <f t="shared" si="6"/>
        <v>0.64432176656151419</v>
      </c>
      <c r="G225" s="9">
        <f>Liquor!$F225*1.5</f>
        <v>0.96648264984227128</v>
      </c>
      <c r="H225" s="9">
        <v>10</v>
      </c>
      <c r="I225" s="6">
        <f>Liquor!$G225/Liquor!$H225</f>
        <v>9.6648264984227128E-2</v>
      </c>
      <c r="J225" s="24"/>
      <c r="K225" s="3"/>
      <c r="L225" s="3"/>
      <c r="M225" s="3">
        <f>SUM(Liquor!$J225:$L225)</f>
        <v>0</v>
      </c>
      <c r="N225" s="9">
        <f t="shared" si="5"/>
        <v>0</v>
      </c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">
      <c r="A226" s="24" t="s">
        <v>58</v>
      </c>
      <c r="B226" s="4">
        <v>25.36</v>
      </c>
      <c r="C226" s="25" t="s">
        <v>241</v>
      </c>
      <c r="D226" s="25" t="s">
        <v>183</v>
      </c>
      <c r="E226" s="9">
        <v>33.6</v>
      </c>
      <c r="F226" s="9">
        <f t="shared" si="6"/>
        <v>1.3249211356466877</v>
      </c>
      <c r="G226" s="9">
        <f>Liquor!$F226*1.5</f>
        <v>1.9873817034700316</v>
      </c>
      <c r="H226" s="39">
        <v>12</v>
      </c>
      <c r="I226" s="6">
        <f>Liquor!$G226/Liquor!$H226</f>
        <v>0.16561514195583596</v>
      </c>
      <c r="J226" s="24"/>
      <c r="K226" s="3"/>
      <c r="L226" s="3"/>
      <c r="M226" s="30">
        <f>SUM(Liquor!$J226:$L226)+$I446</f>
        <v>0</v>
      </c>
      <c r="N226" s="9">
        <f t="shared" si="5"/>
        <v>0</v>
      </c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">
      <c r="A227" s="24" t="s">
        <v>58</v>
      </c>
      <c r="B227" s="4">
        <v>25.36</v>
      </c>
      <c r="C227" s="25" t="s">
        <v>242</v>
      </c>
      <c r="D227" s="25" t="s">
        <v>183</v>
      </c>
      <c r="E227" s="9">
        <v>24.4</v>
      </c>
      <c r="F227" s="9">
        <f t="shared" si="6"/>
        <v>0.96214511041009465</v>
      </c>
      <c r="G227" s="9">
        <f>Liquor!$F227*1.5</f>
        <v>1.4432176656151419</v>
      </c>
      <c r="H227" s="39">
        <v>10</v>
      </c>
      <c r="I227" s="6">
        <f>Liquor!$G227/Liquor!$H227</f>
        <v>0.14432176656151419</v>
      </c>
      <c r="J227" s="24"/>
      <c r="K227" s="3"/>
      <c r="L227" s="3"/>
      <c r="M227" s="3">
        <f>SUM(Liquor!$J227:$L227)</f>
        <v>0</v>
      </c>
      <c r="N227" s="9">
        <f t="shared" si="5"/>
        <v>0</v>
      </c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">
      <c r="A228" s="24" t="s">
        <v>58</v>
      </c>
      <c r="B228" s="4">
        <v>25.36</v>
      </c>
      <c r="C228" s="14" t="s">
        <v>243</v>
      </c>
      <c r="D228" s="25" t="s">
        <v>183</v>
      </c>
      <c r="E228" s="9">
        <v>16.2</v>
      </c>
      <c r="F228" s="9">
        <f t="shared" si="6"/>
        <v>0.63880126182965302</v>
      </c>
      <c r="G228" s="9">
        <f>Liquor!$F228*1.5</f>
        <v>0.95820189274447953</v>
      </c>
      <c r="H228" s="39">
        <v>10</v>
      </c>
      <c r="I228" s="6">
        <f>Liquor!$G228/Liquor!$H228</f>
        <v>9.5820189274447951E-2</v>
      </c>
      <c r="J228" s="24"/>
      <c r="K228" s="3"/>
      <c r="L228" s="3"/>
      <c r="M228" s="3">
        <f>SUM(Liquor!$J228:$L228)</f>
        <v>0</v>
      </c>
      <c r="N228" s="9">
        <f t="shared" si="5"/>
        <v>0</v>
      </c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">
      <c r="A229" s="34" t="s">
        <v>44</v>
      </c>
      <c r="B229" s="35">
        <v>33.814</v>
      </c>
      <c r="C229" s="14" t="s">
        <v>244</v>
      </c>
      <c r="D229" s="14" t="s">
        <v>183</v>
      </c>
      <c r="E229" s="36">
        <v>5.13</v>
      </c>
      <c r="F229" s="36">
        <f t="shared" si="6"/>
        <v>0.15171230851126752</v>
      </c>
      <c r="G229" s="36">
        <f>Liquor!$F229*1.5</f>
        <v>0.22756846276690129</v>
      </c>
      <c r="H229" s="36">
        <v>10</v>
      </c>
      <c r="I229" s="16">
        <f>Liquor!$G229/Liquor!$H229</f>
        <v>2.275684627669013E-2</v>
      </c>
      <c r="J229" s="10"/>
      <c r="K229" s="18"/>
      <c r="L229" s="18"/>
      <c r="M229" s="18">
        <f>SUM(Liquor!$J229:$L229)</f>
        <v>0</v>
      </c>
      <c r="N229" s="36">
        <f t="shared" si="5"/>
        <v>0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">
      <c r="A230" s="24" t="s">
        <v>58</v>
      </c>
      <c r="B230" s="4">
        <v>25.36</v>
      </c>
      <c r="C230" s="25" t="s">
        <v>245</v>
      </c>
      <c r="D230" s="25" t="s">
        <v>183</v>
      </c>
      <c r="E230" s="9">
        <v>33.61</v>
      </c>
      <c r="F230" s="9">
        <f t="shared" si="6"/>
        <v>1.3253154574132493</v>
      </c>
      <c r="G230" s="9">
        <f>Liquor!$F230*1.5</f>
        <v>1.9879731861198739</v>
      </c>
      <c r="H230" s="39">
        <v>12</v>
      </c>
      <c r="I230" s="6">
        <f>Liquor!$G230/Liquor!$H230</f>
        <v>0.16566443217665616</v>
      </c>
      <c r="J230" s="24"/>
      <c r="K230" s="3"/>
      <c r="L230" s="3"/>
      <c r="M230" s="3">
        <f>SUM(Liquor!$J230:$L230)</f>
        <v>0</v>
      </c>
      <c r="N230" s="9">
        <f t="shared" si="5"/>
        <v>0</v>
      </c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">
      <c r="A231" s="24" t="s">
        <v>58</v>
      </c>
      <c r="B231" s="4">
        <v>25.36</v>
      </c>
      <c r="C231" s="25" t="s">
        <v>246</v>
      </c>
      <c r="D231" s="25" t="s">
        <v>183</v>
      </c>
      <c r="E231" s="9">
        <v>29.01</v>
      </c>
      <c r="F231" s="9">
        <f t="shared" si="6"/>
        <v>1.1439274447949528</v>
      </c>
      <c r="G231" s="9">
        <f>Liquor!$F231*1.5</f>
        <v>1.7158911671924293</v>
      </c>
      <c r="H231" s="39">
        <v>11</v>
      </c>
      <c r="I231" s="6">
        <f>Liquor!$G231/Liquor!$H231</f>
        <v>0.15599010610840267</v>
      </c>
      <c r="J231" s="24"/>
      <c r="K231" s="3"/>
      <c r="L231" s="3"/>
      <c r="M231" s="3">
        <f>SUM(Liquor!$J231:$L231)</f>
        <v>0</v>
      </c>
      <c r="N231" s="9">
        <f t="shared" si="5"/>
        <v>0</v>
      </c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">
      <c r="A232" s="24" t="s">
        <v>58</v>
      </c>
      <c r="B232" s="4">
        <v>25.36</v>
      </c>
      <c r="C232" s="25" t="s">
        <v>247</v>
      </c>
      <c r="D232" s="25" t="s">
        <v>183</v>
      </c>
      <c r="E232" s="9">
        <v>47.1</v>
      </c>
      <c r="F232" s="9">
        <f t="shared" si="6"/>
        <v>1.8572555205047319</v>
      </c>
      <c r="G232" s="9">
        <f>Liquor!$F232*1.5</f>
        <v>2.7858832807570977</v>
      </c>
      <c r="H232" s="39">
        <v>17</v>
      </c>
      <c r="I232" s="6">
        <f>Liquor!$G232/Liquor!$H232</f>
        <v>0.1638754871033587</v>
      </c>
      <c r="J232" s="24"/>
      <c r="K232" s="3"/>
      <c r="L232" s="3"/>
      <c r="M232" s="3">
        <f>SUM(Liquor!$J232:$L232)</f>
        <v>0</v>
      </c>
      <c r="N232" s="9">
        <f t="shared" si="5"/>
        <v>0</v>
      </c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">
      <c r="A233" s="24" t="s">
        <v>58</v>
      </c>
      <c r="B233" s="4">
        <v>25.36</v>
      </c>
      <c r="C233" s="14" t="s">
        <v>248</v>
      </c>
      <c r="D233" s="25" t="s">
        <v>183</v>
      </c>
      <c r="E233" s="9">
        <v>19.149999999999999</v>
      </c>
      <c r="F233" s="9">
        <f t="shared" si="6"/>
        <v>0.75512618296529965</v>
      </c>
      <c r="G233" s="9">
        <f>Liquor!$F233*1.5</f>
        <v>1.1326892744479495</v>
      </c>
      <c r="H233" s="39">
        <v>10</v>
      </c>
      <c r="I233" s="6">
        <f>Liquor!$G233/Liquor!$H233</f>
        <v>0.11326892744479496</v>
      </c>
      <c r="J233" s="24"/>
      <c r="K233" s="3"/>
      <c r="L233" s="3"/>
      <c r="M233" s="3">
        <f>SUM(Liquor!$J233:$L233)</f>
        <v>0</v>
      </c>
      <c r="N233" s="9">
        <f t="shared" si="5"/>
        <v>0</v>
      </c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">
      <c r="A234" s="24" t="s">
        <v>58</v>
      </c>
      <c r="B234" s="4">
        <v>25.36</v>
      </c>
      <c r="C234" s="25" t="s">
        <v>249</v>
      </c>
      <c r="D234" s="25" t="s">
        <v>183</v>
      </c>
      <c r="E234" s="9">
        <v>22.98</v>
      </c>
      <c r="F234" s="9">
        <f t="shared" si="6"/>
        <v>0.90615141955835965</v>
      </c>
      <c r="G234" s="9">
        <f>Liquor!$F234*1.5</f>
        <v>1.3592271293375395</v>
      </c>
      <c r="H234" s="9">
        <v>10</v>
      </c>
      <c r="I234" s="6">
        <f>Liquor!$G234/Liquor!$H234</f>
        <v>0.13592271293375396</v>
      </c>
      <c r="J234" s="24"/>
      <c r="K234" s="3"/>
      <c r="L234" s="3"/>
      <c r="M234" s="3">
        <f>SUM(Liquor!$J234:$L234)</f>
        <v>0</v>
      </c>
      <c r="N234" s="9">
        <f t="shared" si="5"/>
        <v>0</v>
      </c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">
      <c r="A235" s="24" t="s">
        <v>58</v>
      </c>
      <c r="B235" s="4">
        <v>25.36</v>
      </c>
      <c r="C235" s="25" t="s">
        <v>250</v>
      </c>
      <c r="D235" s="25" t="s">
        <v>183</v>
      </c>
      <c r="E235" s="9">
        <v>17.16</v>
      </c>
      <c r="F235" s="9">
        <f t="shared" si="6"/>
        <v>0.67665615141955837</v>
      </c>
      <c r="G235" s="9">
        <f>Liquor!$F235*1.5</f>
        <v>1.0149842271293377</v>
      </c>
      <c r="H235" s="9">
        <v>8</v>
      </c>
      <c r="I235" s="6">
        <f>Liquor!$G235/Liquor!$H235</f>
        <v>0.12687302839116721</v>
      </c>
      <c r="J235" s="24"/>
      <c r="K235" s="3"/>
      <c r="L235" s="3"/>
      <c r="M235" s="30">
        <f>SUM(Liquor!$J235:$L235)+$I413+$I432</f>
        <v>0</v>
      </c>
      <c r="N235" s="9">
        <f t="shared" si="5"/>
        <v>0</v>
      </c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">
      <c r="A236" s="24" t="s">
        <v>44</v>
      </c>
      <c r="B236" s="4">
        <v>33.814</v>
      </c>
      <c r="C236" s="25" t="s">
        <v>251</v>
      </c>
      <c r="D236" s="25" t="s">
        <v>183</v>
      </c>
      <c r="E236" s="9">
        <v>17.829999999999998</v>
      </c>
      <c r="F236" s="9">
        <f t="shared" si="6"/>
        <v>0.52729638611226115</v>
      </c>
      <c r="G236" s="9">
        <f>Liquor!$F236*1.5</f>
        <v>0.79094457916839178</v>
      </c>
      <c r="H236" s="9">
        <v>8</v>
      </c>
      <c r="I236" s="6">
        <f>Liquor!$G236/Liquor!$H236</f>
        <v>9.8868072396048973E-2</v>
      </c>
      <c r="J236" s="24"/>
      <c r="K236" s="3"/>
      <c r="L236" s="3"/>
      <c r="M236" s="30">
        <f>SUM(Liquor!$J236:$L236)+$I414+$I433</f>
        <v>0</v>
      </c>
      <c r="N236" s="9">
        <f t="shared" si="5"/>
        <v>0</v>
      </c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">
      <c r="A237" s="24" t="s">
        <v>58</v>
      </c>
      <c r="B237" s="4">
        <v>25.36</v>
      </c>
      <c r="C237" s="14" t="s">
        <v>252</v>
      </c>
      <c r="D237" s="25" t="s">
        <v>183</v>
      </c>
      <c r="E237" s="9">
        <v>18.09</v>
      </c>
      <c r="F237" s="9">
        <f t="shared" si="6"/>
        <v>0.71332807570977919</v>
      </c>
      <c r="G237" s="9">
        <f>Liquor!$F237*1.5</f>
        <v>1.0699921135646688</v>
      </c>
      <c r="H237" s="9">
        <v>8</v>
      </c>
      <c r="I237" s="6">
        <f>Liquor!$G237/Liquor!$H237</f>
        <v>0.1337490141955836</v>
      </c>
      <c r="J237" s="24"/>
      <c r="K237" s="3"/>
      <c r="L237" s="3"/>
      <c r="M237" s="3">
        <f>SUM(Liquor!$J237:$L237)</f>
        <v>0</v>
      </c>
      <c r="N237" s="9">
        <f t="shared" si="5"/>
        <v>0</v>
      </c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">
      <c r="A238" s="24" t="s">
        <v>58</v>
      </c>
      <c r="B238" s="4">
        <v>25.36</v>
      </c>
      <c r="C238" s="25" t="s">
        <v>253</v>
      </c>
      <c r="D238" s="25" t="s">
        <v>183</v>
      </c>
      <c r="E238" s="9">
        <v>34.08</v>
      </c>
      <c r="F238" s="9">
        <f t="shared" si="6"/>
        <v>1.3438485804416402</v>
      </c>
      <c r="G238" s="9">
        <f>Liquor!$F238*1.5</f>
        <v>2.0157728706624605</v>
      </c>
      <c r="H238" s="39">
        <v>12</v>
      </c>
      <c r="I238" s="6">
        <f>Liquor!$G238/Liquor!$H238</f>
        <v>0.16798107255520503</v>
      </c>
      <c r="J238" s="24"/>
      <c r="K238" s="3"/>
      <c r="L238" s="3"/>
      <c r="M238" s="3">
        <f>SUM(Liquor!$J238:$L238)</f>
        <v>0</v>
      </c>
      <c r="N238" s="9">
        <f t="shared" si="5"/>
        <v>0</v>
      </c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">
      <c r="A239" s="24" t="s">
        <v>58</v>
      </c>
      <c r="B239" s="4">
        <v>25.36</v>
      </c>
      <c r="C239" s="25" t="s">
        <v>254</v>
      </c>
      <c r="D239" s="25" t="s">
        <v>183</v>
      </c>
      <c r="E239" s="9">
        <v>28.56</v>
      </c>
      <c r="F239" s="9">
        <f t="shared" si="6"/>
        <v>1.1261829652996844</v>
      </c>
      <c r="G239" s="9">
        <f>Liquor!$F239*1.5</f>
        <v>1.6892744479495265</v>
      </c>
      <c r="H239" s="39">
        <v>12</v>
      </c>
      <c r="I239" s="6">
        <f>Liquor!$G239/Liquor!$H239</f>
        <v>0.14077287066246055</v>
      </c>
      <c r="J239" s="24"/>
      <c r="K239" s="3"/>
      <c r="L239" s="3"/>
      <c r="M239" s="3">
        <f>SUM(Liquor!$J239:$L239)</f>
        <v>0</v>
      </c>
      <c r="N239" s="9">
        <f t="shared" si="5"/>
        <v>0</v>
      </c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">
      <c r="A240" s="24" t="s">
        <v>58</v>
      </c>
      <c r="B240" s="4">
        <v>25.36</v>
      </c>
      <c r="C240" s="25" t="s">
        <v>255</v>
      </c>
      <c r="D240" s="25" t="s">
        <v>183</v>
      </c>
      <c r="E240" s="9">
        <v>29.09</v>
      </c>
      <c r="F240" s="9">
        <f t="shared" si="6"/>
        <v>1.1470820189274449</v>
      </c>
      <c r="G240" s="9">
        <f>Liquor!$F240*1.5</f>
        <v>1.7206230283911674</v>
      </c>
      <c r="H240" s="39">
        <v>11</v>
      </c>
      <c r="I240" s="6">
        <f>Liquor!$G240/Liquor!$H240</f>
        <v>0.15642027530828795</v>
      </c>
      <c r="J240" s="24"/>
      <c r="K240" s="3"/>
      <c r="L240" s="3"/>
      <c r="M240" s="3">
        <f>SUM(Liquor!$J240:$L240)</f>
        <v>0</v>
      </c>
      <c r="N240" s="9">
        <f t="shared" si="5"/>
        <v>0</v>
      </c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">
      <c r="A241" s="24" t="s">
        <v>58</v>
      </c>
      <c r="B241" s="4">
        <v>25.36</v>
      </c>
      <c r="C241" s="25" t="s">
        <v>256</v>
      </c>
      <c r="D241" s="25" t="s">
        <v>183</v>
      </c>
      <c r="E241" s="9">
        <v>24.82</v>
      </c>
      <c r="F241" s="9">
        <f t="shared" si="6"/>
        <v>0.97870662460567825</v>
      </c>
      <c r="G241" s="9">
        <f>Liquor!$F241*1.5</f>
        <v>1.4680599369085174</v>
      </c>
      <c r="H241" s="39">
        <v>11</v>
      </c>
      <c r="I241" s="6">
        <f>Liquor!$G241/Liquor!$H241</f>
        <v>0.13345999426441069</v>
      </c>
      <c r="J241" s="24"/>
      <c r="K241" s="3"/>
      <c r="L241" s="3"/>
      <c r="M241" s="3">
        <f>SUM(Liquor!$J241:$L241)</f>
        <v>0</v>
      </c>
      <c r="N241" s="9">
        <f t="shared" si="5"/>
        <v>0</v>
      </c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">
      <c r="A242" s="24" t="s">
        <v>58</v>
      </c>
      <c r="B242" s="4">
        <v>25.36</v>
      </c>
      <c r="C242" s="25" t="s">
        <v>257</v>
      </c>
      <c r="D242" s="25" t="s">
        <v>183</v>
      </c>
      <c r="E242" s="9">
        <v>18.36</v>
      </c>
      <c r="F242" s="9">
        <f t="shared" si="6"/>
        <v>0.72397476340694</v>
      </c>
      <c r="G242" s="9">
        <f>Liquor!$F242*1.5</f>
        <v>1.08596214511041</v>
      </c>
      <c r="H242" s="39">
        <v>10</v>
      </c>
      <c r="I242" s="6">
        <f>Liquor!$G242/Liquor!$H242</f>
        <v>0.108596214511041</v>
      </c>
      <c r="J242" s="65"/>
      <c r="K242" s="3"/>
      <c r="L242" s="3"/>
      <c r="M242" s="30">
        <f>SUM(Liquor!$J242:$L242)+$I419</f>
        <v>0</v>
      </c>
      <c r="N242" s="9">
        <f t="shared" si="5"/>
        <v>0</v>
      </c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">
      <c r="A243" s="24" t="s">
        <v>58</v>
      </c>
      <c r="B243" s="4">
        <v>25.36</v>
      </c>
      <c r="C243" s="25" t="s">
        <v>258</v>
      </c>
      <c r="D243" s="25" t="s">
        <v>183</v>
      </c>
      <c r="E243" s="9">
        <v>18.63</v>
      </c>
      <c r="F243" s="9">
        <f t="shared" si="6"/>
        <v>0.73462145110410093</v>
      </c>
      <c r="G243" s="9">
        <f>Liquor!$F243*1.5</f>
        <v>1.1019321766561514</v>
      </c>
      <c r="H243" s="9">
        <v>10</v>
      </c>
      <c r="I243" s="6">
        <f>Liquor!$G243/Liquor!$H243</f>
        <v>0.11019321766561514</v>
      </c>
      <c r="J243" s="70"/>
      <c r="K243" s="3"/>
      <c r="L243" s="3"/>
      <c r="M243" s="30">
        <f>SUM(Liquor!$J243:$L243)+$I420</f>
        <v>0</v>
      </c>
      <c r="N243" s="9">
        <f t="shared" si="5"/>
        <v>0</v>
      </c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">
      <c r="A244" s="24" t="s">
        <v>58</v>
      </c>
      <c r="B244" s="4">
        <v>25.36</v>
      </c>
      <c r="C244" s="25" t="s">
        <v>259</v>
      </c>
      <c r="D244" s="25" t="s">
        <v>183</v>
      </c>
      <c r="E244" s="9">
        <v>21.26</v>
      </c>
      <c r="F244" s="9">
        <f t="shared" si="6"/>
        <v>0.8383280757097793</v>
      </c>
      <c r="G244" s="9">
        <f>Liquor!$F244*1.5</f>
        <v>1.2574921135646688</v>
      </c>
      <c r="H244" s="9">
        <v>10</v>
      </c>
      <c r="I244" s="6">
        <f>Liquor!$G244/Liquor!$H244</f>
        <v>0.12574921135646688</v>
      </c>
      <c r="J244" s="24"/>
      <c r="K244" s="3"/>
      <c r="L244" s="3"/>
      <c r="M244" s="30">
        <f>SUM(Liquor!$J244:$L244)+$I447</f>
        <v>0</v>
      </c>
      <c r="N244" s="9">
        <f t="shared" si="5"/>
        <v>0</v>
      </c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">
      <c r="A245" s="24" t="s">
        <v>44</v>
      </c>
      <c r="B245" s="4">
        <v>33.814</v>
      </c>
      <c r="C245" s="25" t="s">
        <v>260</v>
      </c>
      <c r="D245" s="25" t="s">
        <v>183</v>
      </c>
      <c r="E245" s="9">
        <v>31.6</v>
      </c>
      <c r="F245" s="9">
        <f t="shared" si="6"/>
        <v>0.93452416158987406</v>
      </c>
      <c r="G245" s="9">
        <f>Liquor!$F245*1.5</f>
        <v>1.4017862423848111</v>
      </c>
      <c r="H245" s="9">
        <v>10</v>
      </c>
      <c r="I245" s="6">
        <f>Liquor!$G245/Liquor!$H245</f>
        <v>0.1401786242384811</v>
      </c>
      <c r="J245" s="24"/>
      <c r="K245" s="3"/>
      <c r="L245" s="3"/>
      <c r="M245" s="3">
        <f>SUM(Liquor!$J245:$L245)</f>
        <v>0</v>
      </c>
      <c r="N245" s="9">
        <f t="shared" si="5"/>
        <v>0</v>
      </c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">
      <c r="A246" s="41" t="s">
        <v>58</v>
      </c>
      <c r="B246" s="42">
        <v>25.36</v>
      </c>
      <c r="C246" s="14" t="s">
        <v>261</v>
      </c>
      <c r="D246" s="14" t="s">
        <v>183</v>
      </c>
      <c r="E246" s="36">
        <v>31.71</v>
      </c>
      <c r="F246" s="36">
        <f t="shared" si="6"/>
        <v>1.2503943217665616</v>
      </c>
      <c r="G246" s="36">
        <f>Liquor!$F246*1.5</f>
        <v>1.8755914826498423</v>
      </c>
      <c r="H246" s="36">
        <v>12</v>
      </c>
      <c r="I246" s="16">
        <f>Liquor!$G246/Liquor!$H246</f>
        <v>0.1562992902208202</v>
      </c>
      <c r="J246" s="10"/>
      <c r="K246" s="18"/>
      <c r="L246" s="18"/>
      <c r="M246" s="18">
        <f>SUM(Liquor!$J246:$L246)</f>
        <v>0</v>
      </c>
      <c r="N246" s="36">
        <f t="shared" si="5"/>
        <v>0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">
      <c r="A247" s="24" t="s">
        <v>58</v>
      </c>
      <c r="B247" s="4">
        <v>25.36</v>
      </c>
      <c r="C247" s="25" t="s">
        <v>262</v>
      </c>
      <c r="D247" s="25" t="s">
        <v>183</v>
      </c>
      <c r="E247" s="9">
        <v>27.29</v>
      </c>
      <c r="F247" s="9">
        <f t="shared" si="6"/>
        <v>1.0761041009463723</v>
      </c>
      <c r="G247" s="9">
        <f>Liquor!$F247*1.5</f>
        <v>1.6141561514195586</v>
      </c>
      <c r="H247" s="9">
        <v>9</v>
      </c>
      <c r="I247" s="6">
        <f>Liquor!$G247/Liquor!$H247</f>
        <v>0.17935068349106206</v>
      </c>
      <c r="J247" s="24"/>
      <c r="K247" s="3"/>
      <c r="L247" s="3"/>
      <c r="M247" s="30">
        <f>SUM(Liquor!$J247:$L247)</f>
        <v>0</v>
      </c>
      <c r="N247" s="9">
        <f t="shared" si="5"/>
        <v>0</v>
      </c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">
      <c r="A248" s="24" t="s">
        <v>58</v>
      </c>
      <c r="B248" s="4">
        <v>25.36</v>
      </c>
      <c r="C248" s="25" t="s">
        <v>263</v>
      </c>
      <c r="D248" s="25" t="s">
        <v>183</v>
      </c>
      <c r="E248" s="9">
        <v>37.92</v>
      </c>
      <c r="F248" s="9">
        <f t="shared" si="6"/>
        <v>1.4952681388012619</v>
      </c>
      <c r="G248" s="9">
        <f>Liquor!$F248*1.5</f>
        <v>2.242902208201893</v>
      </c>
      <c r="H248" s="9">
        <v>9</v>
      </c>
      <c r="I248" s="6">
        <f>Liquor!$G248/Liquor!$H248</f>
        <v>0.249211356466877</v>
      </c>
      <c r="J248" s="24"/>
      <c r="K248" s="3"/>
      <c r="L248" s="3"/>
      <c r="M248" s="3">
        <f>SUM(Liquor!$J248:$L248)</f>
        <v>0</v>
      </c>
      <c r="N248" s="9">
        <f t="shared" si="5"/>
        <v>0</v>
      </c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">
      <c r="A249" s="24" t="s">
        <v>58</v>
      </c>
      <c r="B249" s="4">
        <v>25.36</v>
      </c>
      <c r="C249" s="25" t="s">
        <v>264</v>
      </c>
      <c r="D249" s="25" t="s">
        <v>183</v>
      </c>
      <c r="E249" s="9">
        <v>26.71</v>
      </c>
      <c r="F249" s="9">
        <f t="shared" si="6"/>
        <v>1.0532334384858044</v>
      </c>
      <c r="G249" s="9">
        <f>Liquor!$F249*1.5</f>
        <v>1.5798501577287065</v>
      </c>
      <c r="H249" s="9">
        <v>10</v>
      </c>
      <c r="I249" s="6">
        <f>Liquor!$G249/Liquor!$H249</f>
        <v>0.15798501577287066</v>
      </c>
      <c r="J249" s="24"/>
      <c r="K249" s="3"/>
      <c r="L249" s="3"/>
      <c r="M249" s="3">
        <f>SUM(Liquor!$J249:$L249)</f>
        <v>0</v>
      </c>
      <c r="N249" s="9">
        <f t="shared" si="5"/>
        <v>0</v>
      </c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">
      <c r="A250" s="24" t="s">
        <v>58</v>
      </c>
      <c r="B250" s="4">
        <v>25.36</v>
      </c>
      <c r="C250" s="25" t="s">
        <v>265</v>
      </c>
      <c r="D250" s="25" t="s">
        <v>183</v>
      </c>
      <c r="E250" s="9">
        <v>29.8</v>
      </c>
      <c r="F250" s="9">
        <f t="shared" si="6"/>
        <v>1.1750788643533123</v>
      </c>
      <c r="G250" s="9">
        <f>Liquor!$F250*1.5</f>
        <v>1.7626182965299684</v>
      </c>
      <c r="H250" s="9">
        <v>9</v>
      </c>
      <c r="I250" s="6">
        <f>Liquor!$G250/Liquor!$H250</f>
        <v>0.19584647739221872</v>
      </c>
      <c r="J250" s="24"/>
      <c r="K250" s="3"/>
      <c r="L250" s="3"/>
      <c r="M250" s="3">
        <f>SUM(Liquor!$J250:$L250)</f>
        <v>0</v>
      </c>
      <c r="N250" s="9">
        <f t="shared" si="5"/>
        <v>0</v>
      </c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">
      <c r="A251" s="24" t="s">
        <v>58</v>
      </c>
      <c r="B251" s="4">
        <v>25.36</v>
      </c>
      <c r="C251" s="25" t="s">
        <v>266</v>
      </c>
      <c r="D251" s="25" t="s">
        <v>183</v>
      </c>
      <c r="E251" s="9">
        <v>22.33</v>
      </c>
      <c r="F251" s="9">
        <f t="shared" si="6"/>
        <v>0.88052050473186116</v>
      </c>
      <c r="G251" s="9">
        <f>Liquor!$F251*1.5</f>
        <v>1.3207807570977916</v>
      </c>
      <c r="H251" s="9">
        <v>8</v>
      </c>
      <c r="I251" s="6">
        <f>Liquor!$G251/Liquor!$H251</f>
        <v>0.16509759463722395</v>
      </c>
      <c r="J251" s="24"/>
      <c r="K251" s="3"/>
      <c r="L251" s="3"/>
      <c r="M251" s="3">
        <f>SUM(Liquor!$J251:$L251)</f>
        <v>0</v>
      </c>
      <c r="N251" s="9">
        <f t="shared" si="5"/>
        <v>0</v>
      </c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">
      <c r="A252" s="24" t="s">
        <v>58</v>
      </c>
      <c r="B252" s="4">
        <v>25.36</v>
      </c>
      <c r="C252" s="25" t="s">
        <v>267</v>
      </c>
      <c r="D252" s="25" t="s">
        <v>183</v>
      </c>
      <c r="E252" s="9">
        <v>25.85</v>
      </c>
      <c r="F252" s="9">
        <f t="shared" si="6"/>
        <v>1.0193217665615142</v>
      </c>
      <c r="G252" s="9">
        <f>Liquor!$F252*1.5</f>
        <v>1.5289826498422712</v>
      </c>
      <c r="H252" s="39">
        <v>10</v>
      </c>
      <c r="I252" s="6">
        <f>Liquor!$G252/Liquor!$H252</f>
        <v>0.15289826498422712</v>
      </c>
      <c r="J252" s="24"/>
      <c r="K252" s="3"/>
      <c r="L252" s="3"/>
      <c r="M252" s="3">
        <f>SUM(Liquor!$J252:$L252)</f>
        <v>0</v>
      </c>
      <c r="N252" s="9">
        <f t="shared" si="5"/>
        <v>0</v>
      </c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">
      <c r="A253" s="41" t="s">
        <v>58</v>
      </c>
      <c r="B253" s="42">
        <v>25.36</v>
      </c>
      <c r="C253" s="14" t="s">
        <v>268</v>
      </c>
      <c r="D253" s="14" t="s">
        <v>183</v>
      </c>
      <c r="E253" s="36">
        <v>33.4</v>
      </c>
      <c r="F253" s="36">
        <f t="shared" si="6"/>
        <v>1.3170347003154574</v>
      </c>
      <c r="G253" s="36">
        <f>Liquor!$F253*1.5</f>
        <v>1.975552050473186</v>
      </c>
      <c r="H253" s="36">
        <v>10</v>
      </c>
      <c r="I253" s="16">
        <f>Liquor!$G253/Liquor!$H253</f>
        <v>0.1975552050473186</v>
      </c>
      <c r="J253" s="10"/>
      <c r="K253" s="18"/>
      <c r="L253" s="18"/>
      <c r="M253" s="18">
        <f>SUM(Liquor!$J253:$L253)</f>
        <v>0</v>
      </c>
      <c r="N253" s="36">
        <f t="shared" si="5"/>
        <v>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">
      <c r="A254" s="24" t="s">
        <v>58</v>
      </c>
      <c r="B254" s="4">
        <v>25.36</v>
      </c>
      <c r="C254" s="25" t="s">
        <v>269</v>
      </c>
      <c r="D254" s="25" t="s">
        <v>183</v>
      </c>
      <c r="E254" s="9">
        <v>31.6</v>
      </c>
      <c r="F254" s="9">
        <f t="shared" si="6"/>
        <v>1.2460567823343849</v>
      </c>
      <c r="G254" s="9">
        <f>Liquor!$F254*1.5</f>
        <v>1.8690851735015772</v>
      </c>
      <c r="H254" s="9">
        <v>10</v>
      </c>
      <c r="I254" s="6">
        <f>Liquor!$G254/Liquor!$H254</f>
        <v>0.18690851735015773</v>
      </c>
      <c r="J254" s="24"/>
      <c r="K254" s="3"/>
      <c r="L254" s="3"/>
      <c r="M254" s="3">
        <f>SUM(Liquor!$J254:$L254)</f>
        <v>0</v>
      </c>
      <c r="N254" s="9">
        <f t="shared" si="5"/>
        <v>0</v>
      </c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">
      <c r="A255" s="24" t="s">
        <v>58</v>
      </c>
      <c r="B255" s="4">
        <v>25.36</v>
      </c>
      <c r="C255" s="14" t="s">
        <v>270</v>
      </c>
      <c r="D255" s="25" t="s">
        <v>183</v>
      </c>
      <c r="E255" s="9">
        <v>33.4</v>
      </c>
      <c r="F255" s="9">
        <f t="shared" si="6"/>
        <v>1.3170347003154574</v>
      </c>
      <c r="G255" s="9">
        <f>Liquor!$F255*1.5</f>
        <v>1.975552050473186</v>
      </c>
      <c r="H255" s="9">
        <v>10</v>
      </c>
      <c r="I255" s="6">
        <f>Liquor!$G255/Liquor!$H255</f>
        <v>0.1975552050473186</v>
      </c>
      <c r="J255" s="24"/>
      <c r="K255" s="3"/>
      <c r="L255" s="3"/>
      <c r="M255" s="3">
        <f>SUM(Liquor!$J255:$L255)</f>
        <v>0</v>
      </c>
      <c r="N255" s="9">
        <f t="shared" si="5"/>
        <v>0</v>
      </c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">
      <c r="A256" s="34" t="s">
        <v>44</v>
      </c>
      <c r="B256" s="35">
        <v>33.814</v>
      </c>
      <c r="C256" s="14" t="s">
        <v>271</v>
      </c>
      <c r="D256" s="14" t="s">
        <v>183</v>
      </c>
      <c r="E256" s="36">
        <v>25.7</v>
      </c>
      <c r="F256" s="36">
        <f t="shared" si="6"/>
        <v>0.76004022002720761</v>
      </c>
      <c r="G256" s="36">
        <f>Liquor!$F256*1.5</f>
        <v>1.1400603300408114</v>
      </c>
      <c r="H256" s="45">
        <v>10</v>
      </c>
      <c r="I256" s="16">
        <f>Liquor!$G256/Liquor!$H256</f>
        <v>0.11400603300408114</v>
      </c>
      <c r="J256" s="10"/>
      <c r="K256" s="18"/>
      <c r="L256" s="18"/>
      <c r="M256" s="18">
        <f>SUM(Liquor!$J256:$L256)</f>
        <v>0</v>
      </c>
      <c r="N256" s="36">
        <f t="shared" si="5"/>
        <v>0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">
      <c r="A257" s="24" t="s">
        <v>58</v>
      </c>
      <c r="B257" s="4">
        <v>25.36</v>
      </c>
      <c r="C257" s="14" t="s">
        <v>271</v>
      </c>
      <c r="D257" s="25" t="s">
        <v>183</v>
      </c>
      <c r="E257" s="9">
        <v>18.22</v>
      </c>
      <c r="F257" s="9">
        <f t="shared" si="6"/>
        <v>0.71845425867507884</v>
      </c>
      <c r="G257" s="9">
        <f>Liquor!$F257*1.5</f>
        <v>1.0776813880126181</v>
      </c>
      <c r="H257" s="9">
        <v>10</v>
      </c>
      <c r="I257" s="6">
        <f>Liquor!$G257/Liquor!$H257</f>
        <v>0.10776813880126182</v>
      </c>
      <c r="J257" s="24"/>
      <c r="K257" s="3"/>
      <c r="L257" s="3"/>
      <c r="M257" s="3">
        <f>SUM(Liquor!$J257:$L257)</f>
        <v>0</v>
      </c>
      <c r="N257" s="9">
        <f t="shared" si="5"/>
        <v>0</v>
      </c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">
      <c r="A258" s="24" t="s">
        <v>58</v>
      </c>
      <c r="B258" s="4">
        <v>25.36</v>
      </c>
      <c r="C258" s="25" t="s">
        <v>272</v>
      </c>
      <c r="D258" s="25" t="s">
        <v>183</v>
      </c>
      <c r="E258" s="9">
        <v>24.13</v>
      </c>
      <c r="F258" s="9">
        <f t="shared" si="6"/>
        <v>0.95149842271293372</v>
      </c>
      <c r="G258" s="9">
        <f>Liquor!$F258*1.5</f>
        <v>1.4272476340694005</v>
      </c>
      <c r="H258" s="9">
        <v>10</v>
      </c>
      <c r="I258" s="6">
        <f>Liquor!$G258/Liquor!$H258</f>
        <v>0.14272476340694004</v>
      </c>
      <c r="J258" s="24"/>
      <c r="K258" s="3"/>
      <c r="L258" s="3"/>
      <c r="M258" s="3">
        <f>SUM(Liquor!$J258:$L258)</f>
        <v>0</v>
      </c>
      <c r="N258" s="9">
        <f t="shared" si="5"/>
        <v>0</v>
      </c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">
      <c r="A259" s="24" t="s">
        <v>58</v>
      </c>
      <c r="B259" s="4">
        <v>25.36</v>
      </c>
      <c r="C259" s="25" t="s">
        <v>273</v>
      </c>
      <c r="D259" s="25" t="s">
        <v>183</v>
      </c>
      <c r="E259" s="9">
        <v>23.96</v>
      </c>
      <c r="F259" s="9">
        <f t="shared" si="6"/>
        <v>0.94479495268138802</v>
      </c>
      <c r="G259" s="9">
        <f>Liquor!$F259*1.5</f>
        <v>1.4171924290220821</v>
      </c>
      <c r="H259" s="9">
        <v>8</v>
      </c>
      <c r="I259" s="6">
        <f>Liquor!$G259/Liquor!$H259</f>
        <v>0.17714905362776026</v>
      </c>
      <c r="J259" s="24"/>
      <c r="K259" s="3"/>
      <c r="L259" s="3"/>
      <c r="M259" s="3">
        <f>SUM(Liquor!$J259:$L259)</f>
        <v>0</v>
      </c>
      <c r="N259" s="9">
        <f t="shared" si="5"/>
        <v>0</v>
      </c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">
      <c r="A260" s="24" t="s">
        <v>58</v>
      </c>
      <c r="B260" s="4">
        <v>25.36</v>
      </c>
      <c r="C260" s="14" t="s">
        <v>274</v>
      </c>
      <c r="D260" s="25" t="s">
        <v>183</v>
      </c>
      <c r="E260" s="9">
        <v>29.29</v>
      </c>
      <c r="F260" s="9">
        <f t="shared" si="6"/>
        <v>1.1549684542586751</v>
      </c>
      <c r="G260" s="9">
        <f>Liquor!$F260*1.5</f>
        <v>1.7324526813880126</v>
      </c>
      <c r="H260" s="39">
        <v>11</v>
      </c>
      <c r="I260" s="6">
        <f>Liquor!$G260/Liquor!$H260</f>
        <v>0.15749569830800114</v>
      </c>
      <c r="J260" s="24"/>
      <c r="K260" s="3"/>
      <c r="L260" s="3"/>
      <c r="M260" s="3">
        <f>SUM(Liquor!$J260:$L260)</f>
        <v>0</v>
      </c>
      <c r="N260" s="9">
        <f t="shared" si="5"/>
        <v>0</v>
      </c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">
      <c r="A261" s="24" t="s">
        <v>58</v>
      </c>
      <c r="B261" s="4">
        <v>25.36</v>
      </c>
      <c r="C261" s="14" t="s">
        <v>275</v>
      </c>
      <c r="D261" s="25" t="s">
        <v>276</v>
      </c>
      <c r="E261" s="9">
        <v>66.78</v>
      </c>
      <c r="F261" s="9">
        <f t="shared" si="6"/>
        <v>2.6332807570977921</v>
      </c>
      <c r="G261" s="9">
        <f>Liquor!$F261*1.5</f>
        <v>3.9499211356466883</v>
      </c>
      <c r="H261" s="9">
        <v>20</v>
      </c>
      <c r="I261" s="6">
        <f>Liquor!$G261/Liquor!$H261</f>
        <v>0.19749605678233442</v>
      </c>
      <c r="J261" s="47">
        <v>0.8</v>
      </c>
      <c r="K261" s="3"/>
      <c r="L261" s="3"/>
      <c r="M261" s="3">
        <f>SUM(Liquor!$J261:$L261)</f>
        <v>0.8</v>
      </c>
      <c r="N261" s="9">
        <f t="shared" si="5"/>
        <v>53.424000000000007</v>
      </c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">
      <c r="A262" s="24" t="s">
        <v>58</v>
      </c>
      <c r="B262" s="4">
        <v>25.36</v>
      </c>
      <c r="C262" s="14" t="s">
        <v>277</v>
      </c>
      <c r="D262" s="25" t="s">
        <v>276</v>
      </c>
      <c r="E262" s="9">
        <v>63.64</v>
      </c>
      <c r="F262" s="9">
        <f t="shared" si="6"/>
        <v>2.5094637223974763</v>
      </c>
      <c r="G262" s="9">
        <f>Liquor!$F262*1.5</f>
        <v>3.7641955835962144</v>
      </c>
      <c r="H262" s="9">
        <v>22</v>
      </c>
      <c r="I262" s="6">
        <f>Liquor!$G262/Liquor!$H262</f>
        <v>0.17109979925437338</v>
      </c>
      <c r="J262" s="47">
        <v>0.25</v>
      </c>
      <c r="K262" s="3"/>
      <c r="L262" s="3"/>
      <c r="M262" s="3">
        <f>SUM(Liquor!$J262:$L262)</f>
        <v>0.25</v>
      </c>
      <c r="N262" s="9">
        <f t="shared" si="5"/>
        <v>15.91</v>
      </c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">
      <c r="A263" s="24" t="s">
        <v>44</v>
      </c>
      <c r="B263" s="4">
        <v>33.814</v>
      </c>
      <c r="C263" s="31" t="s">
        <v>278</v>
      </c>
      <c r="D263" s="25" t="s">
        <v>276</v>
      </c>
      <c r="E263" s="9">
        <v>31.61</v>
      </c>
      <c r="F263" s="9">
        <f t="shared" si="6"/>
        <v>0.934819897084048</v>
      </c>
      <c r="G263" s="9">
        <f>Liquor!$F263*1.5</f>
        <v>1.402229845626072</v>
      </c>
      <c r="H263" s="9">
        <v>12</v>
      </c>
      <c r="I263" s="6">
        <f>Liquor!$G263/Liquor!$H263</f>
        <v>0.116852487135506</v>
      </c>
      <c r="J263" s="47">
        <v>0.01</v>
      </c>
      <c r="K263" s="3"/>
      <c r="L263" s="3"/>
      <c r="M263" s="30">
        <f>SUM(Liquor!$J263:$L263)+J445</f>
        <v>0.01</v>
      </c>
      <c r="N263" s="9">
        <f t="shared" si="5"/>
        <v>0.31609999999999999</v>
      </c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">
      <c r="A264" s="24" t="s">
        <v>58</v>
      </c>
      <c r="B264" s="4">
        <v>25.36</v>
      </c>
      <c r="C264" s="25" t="s">
        <v>279</v>
      </c>
      <c r="D264" s="25" t="s">
        <v>276</v>
      </c>
      <c r="E264" s="9">
        <v>35.590000000000003</v>
      </c>
      <c r="F264" s="9">
        <f t="shared" si="6"/>
        <v>1.4033911671924293</v>
      </c>
      <c r="G264" s="9">
        <f>Liquor!$F264*1.5</f>
        <v>2.1050867507886437</v>
      </c>
      <c r="H264" s="39">
        <v>13</v>
      </c>
      <c r="I264" s="6">
        <f>Liquor!$G264/Liquor!$H264</f>
        <v>0.1619297500606649</v>
      </c>
      <c r="J264" s="47">
        <v>0.3</v>
      </c>
      <c r="K264" s="3"/>
      <c r="L264" s="3"/>
      <c r="M264" s="3">
        <f>SUM(Liquor!$J264:$L264)</f>
        <v>0.3</v>
      </c>
      <c r="N264" s="9">
        <f t="shared" si="5"/>
        <v>10.677000000000001</v>
      </c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">
      <c r="A265" s="24" t="s">
        <v>58</v>
      </c>
      <c r="B265" s="4">
        <v>25.36</v>
      </c>
      <c r="C265" s="25" t="s">
        <v>280</v>
      </c>
      <c r="D265" s="25" t="s">
        <v>276</v>
      </c>
      <c r="E265" s="9">
        <v>32.42</v>
      </c>
      <c r="F265" s="9">
        <f t="shared" si="6"/>
        <v>1.2783911671924291</v>
      </c>
      <c r="G265" s="9">
        <f>Liquor!$F265*1.5</f>
        <v>1.9175867507886437</v>
      </c>
      <c r="H265" s="9">
        <v>14</v>
      </c>
      <c r="I265" s="6">
        <f>Liquor!$G265/Liquor!$H265</f>
        <v>0.13697048219918884</v>
      </c>
      <c r="J265" s="47">
        <v>0.05</v>
      </c>
      <c r="K265" s="3"/>
      <c r="L265" s="3"/>
      <c r="M265" s="30">
        <f>SUM(Liquor!$J265:$L265)</f>
        <v>0.05</v>
      </c>
      <c r="N265" s="9">
        <f t="shared" si="5"/>
        <v>1.6210000000000002</v>
      </c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">
      <c r="A266" s="24" t="s">
        <v>58</v>
      </c>
      <c r="B266" s="4">
        <v>25.36</v>
      </c>
      <c r="C266" s="25" t="s">
        <v>281</v>
      </c>
      <c r="D266" s="25" t="s">
        <v>276</v>
      </c>
      <c r="E266" s="9">
        <v>36.18</v>
      </c>
      <c r="F266" s="9">
        <f t="shared" si="6"/>
        <v>1.4266561514195584</v>
      </c>
      <c r="G266" s="9">
        <f>Liquor!$F266*1.5</f>
        <v>2.1399842271293377</v>
      </c>
      <c r="H266" s="9">
        <v>14</v>
      </c>
      <c r="I266" s="6">
        <f>Liquor!$G266/Liquor!$H266</f>
        <v>0.15285601622352413</v>
      </c>
      <c r="J266" s="71">
        <v>0.1</v>
      </c>
      <c r="K266" s="3"/>
      <c r="L266" s="3"/>
      <c r="M266" s="3">
        <f>SUM(Liquor!$J266:$L266)</f>
        <v>0.1</v>
      </c>
      <c r="N266" s="9">
        <f t="shared" si="5"/>
        <v>3.6180000000000003</v>
      </c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">
      <c r="A267" s="34" t="s">
        <v>44</v>
      </c>
      <c r="B267" s="35">
        <v>33.814</v>
      </c>
      <c r="C267" s="14" t="s">
        <v>281</v>
      </c>
      <c r="D267" s="14" t="s">
        <v>276</v>
      </c>
      <c r="E267" s="36">
        <v>39.020000000000003</v>
      </c>
      <c r="F267" s="36">
        <f t="shared" si="6"/>
        <v>1.1539598982669901</v>
      </c>
      <c r="G267" s="36">
        <f>Liquor!$F267*1.5</f>
        <v>1.7309398474004851</v>
      </c>
      <c r="H267" s="36">
        <v>14</v>
      </c>
      <c r="I267" s="16">
        <f>Liquor!$G267/Liquor!$H267</f>
        <v>0.12363856052860608</v>
      </c>
      <c r="J267" s="10"/>
      <c r="K267" s="18"/>
      <c r="L267" s="18"/>
      <c r="M267" s="18">
        <f>SUM(Liquor!$J267:$L267)</f>
        <v>0</v>
      </c>
      <c r="N267" s="36">
        <f t="shared" si="5"/>
        <v>0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">
      <c r="A268" s="24" t="s">
        <v>58</v>
      </c>
      <c r="B268" s="4">
        <v>25.36</v>
      </c>
      <c r="C268" s="25" t="s">
        <v>282</v>
      </c>
      <c r="D268" s="25" t="s">
        <v>276</v>
      </c>
      <c r="E268" s="9">
        <v>50.18</v>
      </c>
      <c r="F268" s="9">
        <f t="shared" si="6"/>
        <v>1.9787066246056784</v>
      </c>
      <c r="G268" s="9">
        <f>Liquor!$F268*1.5</f>
        <v>2.9680599369085177</v>
      </c>
      <c r="H268" s="9">
        <v>16</v>
      </c>
      <c r="I268" s="6">
        <f>Liquor!$G268/Liquor!$H268</f>
        <v>0.18550374605678235</v>
      </c>
      <c r="J268" s="47">
        <v>0.75</v>
      </c>
      <c r="K268" s="3"/>
      <c r="L268" s="3"/>
      <c r="M268" s="3">
        <f>SUM(Liquor!$J268:$L268)</f>
        <v>0.75</v>
      </c>
      <c r="N268" s="9">
        <f t="shared" si="5"/>
        <v>37.634999999999998</v>
      </c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">
      <c r="A269" s="24" t="s">
        <v>58</v>
      </c>
      <c r="B269" s="4">
        <v>25.36</v>
      </c>
      <c r="C269" s="25" t="s">
        <v>283</v>
      </c>
      <c r="D269" s="25" t="s">
        <v>276</v>
      </c>
      <c r="E269" s="9">
        <v>26.87</v>
      </c>
      <c r="F269" s="9">
        <f t="shared" si="6"/>
        <v>1.0595425867507886</v>
      </c>
      <c r="G269" s="9">
        <f>Liquor!$F269*1.5</f>
        <v>1.5893138801261828</v>
      </c>
      <c r="H269" s="9">
        <v>13</v>
      </c>
      <c r="I269" s="6">
        <f>Liquor!$G269/Liquor!$H269</f>
        <v>0.12225491385586021</v>
      </c>
      <c r="J269" s="47">
        <v>0.9</v>
      </c>
      <c r="K269" s="3"/>
      <c r="L269" s="3"/>
      <c r="M269" s="3">
        <f>SUM(Liquor!$J269:$L269)</f>
        <v>0.9</v>
      </c>
      <c r="N269" s="9">
        <f t="shared" si="5"/>
        <v>24.183</v>
      </c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">
      <c r="A270" s="24" t="s">
        <v>58</v>
      </c>
      <c r="B270" s="4">
        <v>25.36</v>
      </c>
      <c r="C270" s="25" t="s">
        <v>284</v>
      </c>
      <c r="D270" s="25" t="s">
        <v>276</v>
      </c>
      <c r="E270" s="9">
        <v>34.47</v>
      </c>
      <c r="F270" s="9">
        <f t="shared" si="6"/>
        <v>1.3592271293375393</v>
      </c>
      <c r="G270" s="9">
        <f>Liquor!$F270*1.5</f>
        <v>2.0388406940063089</v>
      </c>
      <c r="H270" s="9">
        <v>12</v>
      </c>
      <c r="I270" s="6">
        <f>Liquor!$G270/Liquor!$H270</f>
        <v>0.16990339116719241</v>
      </c>
      <c r="J270" s="24"/>
      <c r="K270" s="3"/>
      <c r="L270" s="3"/>
      <c r="M270" s="3">
        <f>SUM(Liquor!$J270:$L270)</f>
        <v>0</v>
      </c>
      <c r="N270" s="9">
        <f t="shared" si="5"/>
        <v>0</v>
      </c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">
      <c r="A271" s="24" t="s">
        <v>44</v>
      </c>
      <c r="B271" s="4">
        <v>33.814</v>
      </c>
      <c r="C271" s="14" t="s">
        <v>284</v>
      </c>
      <c r="D271" s="25" t="s">
        <v>276</v>
      </c>
      <c r="E271" s="9">
        <v>36.19</v>
      </c>
      <c r="F271" s="9">
        <f t="shared" si="6"/>
        <v>1.0702667534157448</v>
      </c>
      <c r="G271" s="9">
        <f>Liquor!$F271*1.5</f>
        <v>1.6054001301236172</v>
      </c>
      <c r="H271" s="9">
        <v>12</v>
      </c>
      <c r="I271" s="6">
        <f>Liquor!$G271/Liquor!$H271</f>
        <v>0.13378334417696811</v>
      </c>
      <c r="J271" s="47">
        <v>0.8</v>
      </c>
      <c r="K271" s="3"/>
      <c r="L271" s="3"/>
      <c r="M271" s="3">
        <f>SUM(Liquor!$J271:$L271)</f>
        <v>0.8</v>
      </c>
      <c r="N271" s="9">
        <f t="shared" si="5"/>
        <v>28.951999999999998</v>
      </c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">
      <c r="A272" s="24" t="s">
        <v>58</v>
      </c>
      <c r="B272" s="4">
        <v>25.36</v>
      </c>
      <c r="C272" s="14" t="s">
        <v>285</v>
      </c>
      <c r="D272" s="25" t="s">
        <v>276</v>
      </c>
      <c r="E272" s="9">
        <v>66.959999999999994</v>
      </c>
      <c r="F272" s="9">
        <f t="shared" si="6"/>
        <v>2.6403785488958991</v>
      </c>
      <c r="G272" s="9">
        <f>Liquor!$F272*1.5</f>
        <v>3.9605678233438484</v>
      </c>
      <c r="H272" s="9">
        <v>25</v>
      </c>
      <c r="I272" s="6">
        <f>Liquor!$G272/Liquor!$H272</f>
        <v>0.15842271293375393</v>
      </c>
      <c r="J272" s="24"/>
      <c r="K272" s="3"/>
      <c r="L272" s="3"/>
      <c r="M272" s="3">
        <f>SUM(Liquor!$J272:$L272)</f>
        <v>0</v>
      </c>
      <c r="N272" s="9">
        <f t="shared" si="5"/>
        <v>0</v>
      </c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">
      <c r="A273" s="24" t="s">
        <v>58</v>
      </c>
      <c r="B273" s="4">
        <v>25.36</v>
      </c>
      <c r="C273" s="14" t="s">
        <v>286</v>
      </c>
      <c r="D273" s="25" t="s">
        <v>276</v>
      </c>
      <c r="E273" s="9">
        <v>86.5</v>
      </c>
      <c r="F273" s="9">
        <f t="shared" si="6"/>
        <v>3.4108832807570977</v>
      </c>
      <c r="G273" s="9">
        <f>Liquor!$F273*1.5</f>
        <v>5.1163249211356465</v>
      </c>
      <c r="H273" s="9">
        <v>28</v>
      </c>
      <c r="I273" s="6">
        <f>Liquor!$G273/Liquor!$H273</f>
        <v>0.18272589004055881</v>
      </c>
      <c r="J273" s="47">
        <v>0.35</v>
      </c>
      <c r="K273" s="3"/>
      <c r="L273" s="3"/>
      <c r="M273" s="3">
        <f>SUM(Liquor!$J273:$L273)</f>
        <v>0.35</v>
      </c>
      <c r="N273" s="9">
        <f t="shared" si="5"/>
        <v>30.274999999999999</v>
      </c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">
      <c r="A274" s="34" t="s">
        <v>44</v>
      </c>
      <c r="B274" s="35">
        <v>33.814</v>
      </c>
      <c r="C274" s="14" t="s">
        <v>287</v>
      </c>
      <c r="D274" s="14" t="s">
        <v>276</v>
      </c>
      <c r="E274" s="36">
        <v>37.92</v>
      </c>
      <c r="F274" s="36">
        <f t="shared" si="6"/>
        <v>1.1214289939078488</v>
      </c>
      <c r="G274" s="36">
        <f>Liquor!$F274*1.5</f>
        <v>1.6821434908617732</v>
      </c>
      <c r="H274" s="36">
        <v>14</v>
      </c>
      <c r="I274" s="16">
        <f>Liquor!$G274/Liquor!$H274</f>
        <v>0.12015310649012666</v>
      </c>
      <c r="J274" s="63">
        <v>0.2</v>
      </c>
      <c r="K274" s="18"/>
      <c r="L274" s="18"/>
      <c r="M274" s="18">
        <f>SUM(Liquor!$J274:$L274)</f>
        <v>0.2</v>
      </c>
      <c r="N274" s="36">
        <f t="shared" si="5"/>
        <v>7.5840000000000005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">
      <c r="A275" s="24" t="s">
        <v>44</v>
      </c>
      <c r="B275" s="4">
        <v>33.814</v>
      </c>
      <c r="C275" s="14" t="s">
        <v>288</v>
      </c>
      <c r="D275" s="25" t="s">
        <v>276</v>
      </c>
      <c r="E275" s="9">
        <v>36.520000000000003</v>
      </c>
      <c r="F275" s="9">
        <f t="shared" si="6"/>
        <v>1.0800260247234874</v>
      </c>
      <c r="G275" s="9">
        <f>Liquor!$F275*1.5</f>
        <v>1.6200390370852311</v>
      </c>
      <c r="H275" s="9">
        <v>14</v>
      </c>
      <c r="I275" s="6">
        <f>Liquor!$G275/Liquor!$H275</f>
        <v>0.11571707407751651</v>
      </c>
      <c r="J275" s="24"/>
      <c r="K275" s="3"/>
      <c r="L275" s="3"/>
      <c r="M275" s="38">
        <f>SUM(Liquor!$J275:$L275)+$J423+$J439</f>
        <v>0</v>
      </c>
      <c r="N275" s="9">
        <f t="shared" si="5"/>
        <v>0</v>
      </c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">
      <c r="A276" s="24" t="s">
        <v>58</v>
      </c>
      <c r="B276" s="4">
        <v>25.36</v>
      </c>
      <c r="C276" s="25" t="s">
        <v>289</v>
      </c>
      <c r="D276" s="25" t="s">
        <v>276</v>
      </c>
      <c r="E276" s="9">
        <v>30.45</v>
      </c>
      <c r="F276" s="9">
        <f t="shared" si="6"/>
        <v>1.2007097791798107</v>
      </c>
      <c r="G276" s="9">
        <f>Liquor!$F276*1.5</f>
        <v>1.801064668769716</v>
      </c>
      <c r="H276" s="9">
        <v>14</v>
      </c>
      <c r="I276" s="6">
        <f>Liquor!$G276/Liquor!$H276</f>
        <v>0.12864747634069401</v>
      </c>
      <c r="J276" s="47">
        <v>0.8</v>
      </c>
      <c r="K276" s="3"/>
      <c r="L276" s="3"/>
      <c r="M276" s="30">
        <f>SUM(Liquor!$J276:$L276)</f>
        <v>0.8</v>
      </c>
      <c r="N276" s="9">
        <f t="shared" si="5"/>
        <v>24.36</v>
      </c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">
      <c r="A277" s="24" t="s">
        <v>58</v>
      </c>
      <c r="B277" s="4">
        <v>25.36</v>
      </c>
      <c r="C277" s="25" t="s">
        <v>290</v>
      </c>
      <c r="D277" s="25" t="s">
        <v>276</v>
      </c>
      <c r="E277" s="9">
        <v>34.32</v>
      </c>
      <c r="F277" s="9">
        <f t="shared" si="6"/>
        <v>1.3533123028391167</v>
      </c>
      <c r="G277" s="9">
        <f>Liquor!$F277*1.5</f>
        <v>2.0299684542586753</v>
      </c>
      <c r="H277" s="9">
        <v>16</v>
      </c>
      <c r="I277" s="6">
        <f>Liquor!$G277/Liquor!$H277</f>
        <v>0.12687302839116721</v>
      </c>
      <c r="J277" s="47">
        <v>0.7</v>
      </c>
      <c r="K277" s="3"/>
      <c r="L277" s="3"/>
      <c r="M277" s="30">
        <f>SUM(Liquor!$J277:$L277)</f>
        <v>0.7</v>
      </c>
      <c r="N277" s="9">
        <f t="shared" si="5"/>
        <v>24.023999999999997</v>
      </c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">
      <c r="A278" s="24" t="s">
        <v>58</v>
      </c>
      <c r="B278" s="4">
        <v>25.36</v>
      </c>
      <c r="C278" s="25" t="s">
        <v>291</v>
      </c>
      <c r="D278" s="25" t="s">
        <v>292</v>
      </c>
      <c r="E278" s="9">
        <v>18.100000000000001</v>
      </c>
      <c r="F278" s="9">
        <f t="shared" si="6"/>
        <v>0.71372239747634081</v>
      </c>
      <c r="G278" s="9">
        <f>Liquor!$F278*1.5</f>
        <v>1.0705835962145112</v>
      </c>
      <c r="H278" s="9">
        <v>12</v>
      </c>
      <c r="I278" s="6">
        <f>Liquor!$G278/Liquor!$H278</f>
        <v>8.9215299684542601E-2</v>
      </c>
      <c r="J278" s="47"/>
      <c r="K278" s="3"/>
      <c r="L278" s="3"/>
      <c r="M278" s="3">
        <f>SUM(Liquor!$J278:$L278)</f>
        <v>0</v>
      </c>
      <c r="N278" s="9">
        <f t="shared" si="5"/>
        <v>0</v>
      </c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">
      <c r="A279" s="34" t="s">
        <v>44</v>
      </c>
      <c r="B279" s="35">
        <v>33.814</v>
      </c>
      <c r="C279" s="14" t="s">
        <v>291</v>
      </c>
      <c r="D279" s="14" t="s">
        <v>292</v>
      </c>
      <c r="E279" s="36">
        <v>22.83</v>
      </c>
      <c r="F279" s="36">
        <f t="shared" si="6"/>
        <v>0.67516413319926649</v>
      </c>
      <c r="G279" s="36">
        <f>Liquor!$F279*1.5</f>
        <v>1.0127461997988998</v>
      </c>
      <c r="H279" s="36">
        <v>12</v>
      </c>
      <c r="I279" s="16">
        <f>Liquor!$G279/Liquor!$H279</f>
        <v>8.4395516649908311E-2</v>
      </c>
      <c r="J279" s="12"/>
      <c r="K279" s="18"/>
      <c r="L279" s="18"/>
      <c r="M279" s="18">
        <f>SUM(Liquor!$J279:$L279)</f>
        <v>0</v>
      </c>
      <c r="N279" s="36">
        <f t="shared" si="5"/>
        <v>0</v>
      </c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">
      <c r="A280" s="24" t="s">
        <v>44</v>
      </c>
      <c r="B280" s="4">
        <v>33.814</v>
      </c>
      <c r="C280" s="25" t="s">
        <v>293</v>
      </c>
      <c r="D280" s="25" t="s">
        <v>292</v>
      </c>
      <c r="E280" s="9">
        <v>15.53</v>
      </c>
      <c r="F280" s="9">
        <f t="shared" si="6"/>
        <v>0.45927722245223868</v>
      </c>
      <c r="G280" s="9">
        <f>Liquor!$F280*1.5</f>
        <v>0.68891583367835807</v>
      </c>
      <c r="H280" s="9">
        <v>12</v>
      </c>
      <c r="I280" s="6">
        <f>Liquor!$G280/Liquor!$H280</f>
        <v>5.7409652806529841E-2</v>
      </c>
      <c r="J280" s="47">
        <v>0.5</v>
      </c>
      <c r="K280" s="3"/>
      <c r="L280" s="3"/>
      <c r="M280" s="3">
        <f>SUM(Liquor!$J280:$L280)</f>
        <v>0.5</v>
      </c>
      <c r="N280" s="9">
        <f t="shared" si="5"/>
        <v>7.7649999999999997</v>
      </c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">
      <c r="A281" s="24" t="s">
        <v>58</v>
      </c>
      <c r="B281" s="4">
        <v>25.36</v>
      </c>
      <c r="C281" s="31" t="s">
        <v>294</v>
      </c>
      <c r="D281" s="25" t="s">
        <v>292</v>
      </c>
      <c r="E281" s="9">
        <v>14.65</v>
      </c>
      <c r="F281" s="9">
        <f t="shared" si="6"/>
        <v>0.57768138801261837</v>
      </c>
      <c r="G281" s="9">
        <f>Liquor!$F281*1.5</f>
        <v>0.86652208201892755</v>
      </c>
      <c r="H281" s="9">
        <v>12</v>
      </c>
      <c r="I281" s="6">
        <f>Liquor!$G281/Liquor!$H281</f>
        <v>7.2210173501577296E-2</v>
      </c>
      <c r="J281" s="47">
        <v>0.95</v>
      </c>
      <c r="K281" s="3"/>
      <c r="L281" s="3"/>
      <c r="M281" s="30">
        <f>SUM(Liquor!$J281:$L281)+$I422</f>
        <v>0.95</v>
      </c>
      <c r="N281" s="9">
        <f t="shared" si="5"/>
        <v>13.9175</v>
      </c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">
      <c r="A282" s="24" t="s">
        <v>44</v>
      </c>
      <c r="B282" s="4">
        <v>33.814</v>
      </c>
      <c r="C282" s="25" t="s">
        <v>295</v>
      </c>
      <c r="D282" s="25" t="s">
        <v>292</v>
      </c>
      <c r="E282" s="9">
        <v>17.760000000000002</v>
      </c>
      <c r="F282" s="9">
        <f t="shared" si="6"/>
        <v>0.52522623765304322</v>
      </c>
      <c r="G282" s="9">
        <f>Liquor!$F282*1.5</f>
        <v>0.78783935647956482</v>
      </c>
      <c r="H282" s="9">
        <v>11</v>
      </c>
      <c r="I282" s="6">
        <f>Liquor!$G282/Liquor!$H282</f>
        <v>7.1621759679960442E-2</v>
      </c>
      <c r="J282" s="47">
        <v>0.3</v>
      </c>
      <c r="K282" s="3"/>
      <c r="L282" s="3"/>
      <c r="M282" s="3">
        <f>SUM(Liquor!$J282:$L282)</f>
        <v>0.3</v>
      </c>
      <c r="N282" s="9">
        <f t="shared" si="5"/>
        <v>5.3280000000000003</v>
      </c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">
      <c r="A283" s="72" t="s">
        <v>58</v>
      </c>
      <c r="B283" s="4">
        <v>25.36</v>
      </c>
      <c r="C283" s="25" t="s">
        <v>296</v>
      </c>
      <c r="D283" s="25" t="s">
        <v>292</v>
      </c>
      <c r="E283" s="9">
        <v>27.58</v>
      </c>
      <c r="F283" s="9">
        <f t="shared" si="6"/>
        <v>1.0875394321766561</v>
      </c>
      <c r="G283" s="9">
        <f>Liquor!$F283*1.5</f>
        <v>1.6313091482649842</v>
      </c>
      <c r="H283" s="9">
        <v>13</v>
      </c>
      <c r="I283" s="6">
        <f>Liquor!$G283/Liquor!$H283</f>
        <v>0.12548531909730648</v>
      </c>
      <c r="J283" s="47">
        <v>0.5</v>
      </c>
      <c r="K283" s="3"/>
      <c r="L283" s="3"/>
      <c r="M283" s="3">
        <f>SUM(Liquor!$J283:$L283)</f>
        <v>0.5</v>
      </c>
      <c r="N283" s="9">
        <f t="shared" si="5"/>
        <v>13.79</v>
      </c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">
      <c r="A284" s="24" t="s">
        <v>58</v>
      </c>
      <c r="B284" s="4">
        <v>25.36</v>
      </c>
      <c r="C284" s="25" t="s">
        <v>297</v>
      </c>
      <c r="D284" s="25" t="s">
        <v>292</v>
      </c>
      <c r="E284" s="9">
        <v>34.47</v>
      </c>
      <c r="F284" s="9">
        <f t="shared" si="6"/>
        <v>1.3592271293375393</v>
      </c>
      <c r="G284" s="9">
        <f>Liquor!$F284*1.5</f>
        <v>2.0388406940063089</v>
      </c>
      <c r="H284" s="9">
        <v>15</v>
      </c>
      <c r="I284" s="6">
        <f>Liquor!$G284/Liquor!$H284</f>
        <v>0.13592271293375394</v>
      </c>
      <c r="J284" s="47">
        <v>0.5</v>
      </c>
      <c r="K284" s="3"/>
      <c r="L284" s="3"/>
      <c r="M284" s="3">
        <f>SUM(Liquor!$J284:$L284)</f>
        <v>0.5</v>
      </c>
      <c r="N284" s="9">
        <f t="shared" si="5"/>
        <v>17.234999999999999</v>
      </c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">
      <c r="A285" s="24" t="s">
        <v>58</v>
      </c>
      <c r="B285" s="4">
        <v>25.36</v>
      </c>
      <c r="C285" s="25" t="s">
        <v>298</v>
      </c>
      <c r="D285" s="25" t="s">
        <v>292</v>
      </c>
      <c r="E285" s="9">
        <v>11.35</v>
      </c>
      <c r="F285" s="9">
        <f t="shared" si="6"/>
        <v>0.4475552050473186</v>
      </c>
      <c r="G285" s="9">
        <f>Liquor!$F285*1.5</f>
        <v>0.67133280757097791</v>
      </c>
      <c r="H285" s="9">
        <v>12</v>
      </c>
      <c r="I285" s="6">
        <f>Liquor!$G285/Liquor!$H285</f>
        <v>5.5944400630914826E-2</v>
      </c>
      <c r="J285" s="24"/>
      <c r="K285" s="3"/>
      <c r="L285" s="3"/>
      <c r="M285" s="3">
        <f>SUM(Liquor!$J285:$L285)</f>
        <v>0</v>
      </c>
      <c r="N285" s="9">
        <f t="shared" si="5"/>
        <v>0</v>
      </c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">
      <c r="A286" s="24" t="s">
        <v>44</v>
      </c>
      <c r="B286" s="4">
        <v>33.814</v>
      </c>
      <c r="C286" s="25" t="s">
        <v>298</v>
      </c>
      <c r="D286" s="25" t="s">
        <v>292</v>
      </c>
      <c r="E286" s="9">
        <v>13.04</v>
      </c>
      <c r="F286" s="9">
        <f t="shared" si="6"/>
        <v>0.38563908440291</v>
      </c>
      <c r="G286" s="9">
        <f>Liquor!$F286*1.5</f>
        <v>0.57845862660436498</v>
      </c>
      <c r="H286" s="9">
        <v>12</v>
      </c>
      <c r="I286" s="6">
        <f>Liquor!$G286/Liquor!$H286</f>
        <v>4.8204885550363751E-2</v>
      </c>
      <c r="J286" s="47">
        <v>1</v>
      </c>
      <c r="K286" s="3"/>
      <c r="L286" s="3"/>
      <c r="M286" s="30">
        <f>SUM(Liquor!$J286:$L286)+$J435</f>
        <v>1</v>
      </c>
      <c r="N286" s="9">
        <f t="shared" si="5"/>
        <v>13.04</v>
      </c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">
      <c r="A287" s="24" t="s">
        <v>58</v>
      </c>
      <c r="B287" s="4">
        <v>25.36</v>
      </c>
      <c r="C287" s="25" t="s">
        <v>299</v>
      </c>
      <c r="D287" s="25" t="s">
        <v>292</v>
      </c>
      <c r="E287" s="9">
        <v>20.68</v>
      </c>
      <c r="F287" s="9">
        <f t="shared" si="6"/>
        <v>0.81545741324921139</v>
      </c>
      <c r="G287" s="9">
        <f>Liquor!$F287*1.5</f>
        <v>1.2231861198738172</v>
      </c>
      <c r="H287" s="9">
        <v>12</v>
      </c>
      <c r="I287" s="6">
        <f>Liquor!$G287/Liquor!$H287</f>
        <v>0.10193217665615144</v>
      </c>
      <c r="J287" s="47"/>
      <c r="K287" s="3"/>
      <c r="L287" s="3"/>
      <c r="M287" s="3">
        <f>SUM(Liquor!$J287:$L287)</f>
        <v>0</v>
      </c>
      <c r="N287" s="9">
        <f t="shared" si="5"/>
        <v>0</v>
      </c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">
      <c r="A288" s="34" t="s">
        <v>44</v>
      </c>
      <c r="B288" s="35">
        <v>33.814</v>
      </c>
      <c r="C288" s="14" t="s">
        <v>299</v>
      </c>
      <c r="D288" s="14" t="s">
        <v>292</v>
      </c>
      <c r="E288" s="36">
        <v>24.67</v>
      </c>
      <c r="F288" s="36">
        <f t="shared" si="6"/>
        <v>0.72957946412728458</v>
      </c>
      <c r="G288" s="36">
        <f>Liquor!$F288*1.5</f>
        <v>1.094369196190927</v>
      </c>
      <c r="H288" s="36">
        <v>13</v>
      </c>
      <c r="I288" s="16">
        <f>Liquor!$G288/Liquor!$H288</f>
        <v>8.4182245860840541E-2</v>
      </c>
      <c r="J288" s="46">
        <v>0.4</v>
      </c>
      <c r="K288" s="18"/>
      <c r="L288" s="18"/>
      <c r="M288" s="38">
        <f>SUM(Liquor!$J288:$L288)+$J427</f>
        <v>0.4</v>
      </c>
      <c r="N288" s="36">
        <f t="shared" si="5"/>
        <v>9.8680000000000021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">
      <c r="A289" s="41" t="s">
        <v>58</v>
      </c>
      <c r="B289" s="42">
        <v>25.36</v>
      </c>
      <c r="C289" s="14" t="s">
        <v>300</v>
      </c>
      <c r="D289" s="14" t="s">
        <v>292</v>
      </c>
      <c r="E289" s="36">
        <v>33.9</v>
      </c>
      <c r="F289" s="36">
        <f t="shared" si="6"/>
        <v>1.336750788643533</v>
      </c>
      <c r="G289" s="36">
        <f>Liquor!$F289*1.5</f>
        <v>2.0051261829652995</v>
      </c>
      <c r="H289" s="36">
        <v>14</v>
      </c>
      <c r="I289" s="16">
        <f>Liquor!$G289/Liquor!$H289</f>
        <v>0.14322329878323567</v>
      </c>
      <c r="J289" s="63">
        <v>0.2</v>
      </c>
      <c r="K289" s="18"/>
      <c r="L289" s="18"/>
      <c r="M289" s="18">
        <f>SUM(Liquor!$J289:$L289)</f>
        <v>0.2</v>
      </c>
      <c r="N289" s="36">
        <f t="shared" si="5"/>
        <v>6.78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41" t="s">
        <v>58</v>
      </c>
      <c r="B290" s="42">
        <v>25.36</v>
      </c>
      <c r="C290" s="31" t="s">
        <v>301</v>
      </c>
      <c r="D290" s="14" t="s">
        <v>292</v>
      </c>
      <c r="E290" s="36">
        <v>43.32</v>
      </c>
      <c r="F290" s="36">
        <f t="shared" si="6"/>
        <v>1.7082018927444795</v>
      </c>
      <c r="G290" s="36">
        <f>Liquor!$F290*1.5</f>
        <v>2.5623028391167191</v>
      </c>
      <c r="H290" s="36">
        <v>17</v>
      </c>
      <c r="I290" s="16">
        <f>Liquor!$G290/Liquor!$H290</f>
        <v>0.15072369641863054</v>
      </c>
      <c r="J290" s="63">
        <v>1</v>
      </c>
      <c r="K290" s="18"/>
      <c r="L290" s="18"/>
      <c r="M290" s="38">
        <f>SUM(Liquor!$J290:$L290)+$I404</f>
        <v>1</v>
      </c>
      <c r="N290" s="36">
        <f t="shared" si="5"/>
        <v>43.32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41" t="s">
        <v>58</v>
      </c>
      <c r="B291" s="42">
        <v>25.36</v>
      </c>
      <c r="C291" s="14" t="s">
        <v>302</v>
      </c>
      <c r="D291" s="14" t="s">
        <v>292</v>
      </c>
      <c r="E291" s="40">
        <v>16.190000000000001</v>
      </c>
      <c r="F291" s="36">
        <f t="shared" si="6"/>
        <v>0.63840694006309151</v>
      </c>
      <c r="G291" s="36">
        <f>Liquor!$F291*1.5</f>
        <v>0.95761041009463721</v>
      </c>
      <c r="H291" s="45">
        <v>10</v>
      </c>
      <c r="I291" s="16">
        <f>Liquor!$G291/Liquor!$H291</f>
        <v>9.5761041009463727E-2</v>
      </c>
      <c r="J291" s="63">
        <v>0.3</v>
      </c>
      <c r="K291" s="18"/>
      <c r="L291" s="18"/>
      <c r="M291" s="18">
        <f>SUM(Liquor!$J291:$L291)</f>
        <v>0.3</v>
      </c>
      <c r="N291" s="36">
        <f t="shared" si="5"/>
        <v>4.8570000000000002</v>
      </c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">
      <c r="A292" s="24" t="s">
        <v>58</v>
      </c>
      <c r="B292" s="4">
        <v>25.36</v>
      </c>
      <c r="C292" s="25" t="s">
        <v>303</v>
      </c>
      <c r="D292" s="25" t="s">
        <v>292</v>
      </c>
      <c r="E292" s="9">
        <v>46.52</v>
      </c>
      <c r="F292" s="9">
        <f t="shared" si="6"/>
        <v>1.8343848580441642</v>
      </c>
      <c r="G292" s="9">
        <f>Liquor!$F292*1.5</f>
        <v>2.7515772870662465</v>
      </c>
      <c r="H292" s="9">
        <v>15</v>
      </c>
      <c r="I292" s="6">
        <f>Liquor!$G292/Liquor!$H292</f>
        <v>0.18343848580441643</v>
      </c>
      <c r="J292" s="47">
        <v>0.15</v>
      </c>
      <c r="K292" s="3"/>
      <c r="L292" s="3"/>
      <c r="M292" s="3">
        <f>SUM(Liquor!$J292:$L292)</f>
        <v>0.15</v>
      </c>
      <c r="N292" s="9">
        <f t="shared" si="5"/>
        <v>6.9780000000000006</v>
      </c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">
      <c r="A293" s="24" t="s">
        <v>58</v>
      </c>
      <c r="B293" s="4">
        <v>25.36</v>
      </c>
      <c r="C293" s="25" t="s">
        <v>304</v>
      </c>
      <c r="D293" s="25" t="s">
        <v>292</v>
      </c>
      <c r="E293" s="9">
        <v>28.44</v>
      </c>
      <c r="F293" s="9">
        <f t="shared" si="6"/>
        <v>1.1214511041009465</v>
      </c>
      <c r="G293" s="9">
        <f>Liquor!$F293*1.5</f>
        <v>1.6821766561514198</v>
      </c>
      <c r="H293" s="9">
        <v>11</v>
      </c>
      <c r="I293" s="6">
        <f>Liquor!$G293/Liquor!$H293</f>
        <v>0.15292515055921999</v>
      </c>
      <c r="J293" s="47">
        <v>0.75</v>
      </c>
      <c r="K293" s="3"/>
      <c r="L293" s="3"/>
      <c r="M293" s="3">
        <f>SUM(Liquor!$J293:$L293)</f>
        <v>0.75</v>
      </c>
      <c r="N293" s="9">
        <f t="shared" si="5"/>
        <v>21.330000000000002</v>
      </c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">
      <c r="A294" s="73" t="s">
        <v>44</v>
      </c>
      <c r="B294" s="74">
        <v>33.814</v>
      </c>
      <c r="C294" s="9" t="s">
        <v>305</v>
      </c>
      <c r="D294" s="75" t="s">
        <v>292</v>
      </c>
      <c r="E294" s="9">
        <v>28.09</v>
      </c>
      <c r="F294" s="9">
        <f t="shared" si="6"/>
        <v>0.83072100313479624</v>
      </c>
      <c r="G294" s="9">
        <f>Liquor!$F294*1.5</f>
        <v>1.2460815047021945</v>
      </c>
      <c r="H294" s="39">
        <v>15</v>
      </c>
      <c r="I294" s="6">
        <f>Liquor!$G294/Liquor!$H294</f>
        <v>8.3072100313479627E-2</v>
      </c>
      <c r="J294" s="47">
        <v>0.2</v>
      </c>
      <c r="K294" s="3"/>
      <c r="L294" s="3"/>
      <c r="M294" s="3">
        <f>SUM(Liquor!$J294:$L294)</f>
        <v>0.2</v>
      </c>
      <c r="N294" s="9">
        <f t="shared" si="5"/>
        <v>5.6180000000000003</v>
      </c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">
      <c r="A295" s="73" t="s">
        <v>44</v>
      </c>
      <c r="B295" s="74">
        <v>33.814</v>
      </c>
      <c r="C295" s="9" t="s">
        <v>306</v>
      </c>
      <c r="D295" s="75" t="s">
        <v>292</v>
      </c>
      <c r="E295" s="9">
        <v>17.37</v>
      </c>
      <c r="F295" s="9">
        <f t="shared" si="6"/>
        <v>0.51369255338025677</v>
      </c>
      <c r="G295" s="9">
        <f>Liquor!$F295*1.5</f>
        <v>0.77053883007038515</v>
      </c>
      <c r="H295" s="9">
        <v>12</v>
      </c>
      <c r="I295" s="6">
        <f>Liquor!$G295/Liquor!$H295</f>
        <v>6.4211569172532096E-2</v>
      </c>
      <c r="J295" s="47">
        <v>0.5</v>
      </c>
      <c r="K295" s="3"/>
      <c r="L295" s="3"/>
      <c r="M295" s="3">
        <f>SUM(Liquor!$J295:$L295)</f>
        <v>0.5</v>
      </c>
      <c r="N295" s="9">
        <f t="shared" si="5"/>
        <v>8.6850000000000005</v>
      </c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">
      <c r="A296" s="73" t="s">
        <v>44</v>
      </c>
      <c r="B296" s="74">
        <v>33.814</v>
      </c>
      <c r="C296" s="9" t="s">
        <v>307</v>
      </c>
      <c r="D296" s="75" t="s">
        <v>292</v>
      </c>
      <c r="E296" s="9">
        <v>6.89</v>
      </c>
      <c r="F296" s="9">
        <v>12</v>
      </c>
      <c r="G296" s="9">
        <v>0.1198</v>
      </c>
      <c r="H296" s="9">
        <v>11</v>
      </c>
      <c r="I296" s="6">
        <f>Liquor!$G296/Liquor!$H296</f>
        <v>1.0890909090909092E-2</v>
      </c>
      <c r="J296" s="47">
        <v>0.95</v>
      </c>
      <c r="K296" s="3"/>
      <c r="L296" s="3"/>
      <c r="M296" s="3">
        <f>SUM(Liquor!$J296:$L296)</f>
        <v>0.95</v>
      </c>
      <c r="N296" s="9">
        <f t="shared" si="5"/>
        <v>6.5454999999999997</v>
      </c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">
      <c r="A297" s="24" t="s">
        <v>44</v>
      </c>
      <c r="B297" s="4">
        <v>33.814</v>
      </c>
      <c r="C297" s="25" t="s">
        <v>308</v>
      </c>
      <c r="D297" s="25" t="s">
        <v>292</v>
      </c>
      <c r="E297" s="9">
        <v>17.98</v>
      </c>
      <c r="F297" s="9">
        <v>0.56999999999999995</v>
      </c>
      <c r="G297" s="9">
        <v>0.86</v>
      </c>
      <c r="H297" s="9">
        <v>11</v>
      </c>
      <c r="I297" s="6">
        <v>7.8100000000000003E-2</v>
      </c>
      <c r="J297" s="47">
        <v>0.25</v>
      </c>
      <c r="K297" s="3"/>
      <c r="L297" s="3"/>
      <c r="M297" s="3">
        <f>SUM(Liquor!$J297:$L297)</f>
        <v>0.25</v>
      </c>
      <c r="N297" s="9">
        <f t="shared" si="5"/>
        <v>4.4950000000000001</v>
      </c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">
      <c r="A298" s="24" t="s">
        <v>58</v>
      </c>
      <c r="B298" s="4">
        <v>25.36</v>
      </c>
      <c r="C298" s="76" t="s">
        <v>309</v>
      </c>
      <c r="D298" s="25" t="s">
        <v>292</v>
      </c>
      <c r="E298" s="9">
        <v>41.02</v>
      </c>
      <c r="F298" s="77">
        <f t="shared" ref="F298:F374" si="7">$E298/$B298</f>
        <v>1.6175078864353314</v>
      </c>
      <c r="G298" s="77">
        <f>Liquor!$F298*1.5</f>
        <v>2.4262618296529972</v>
      </c>
      <c r="H298" s="66">
        <v>16</v>
      </c>
      <c r="I298" s="78">
        <f>Liquor!$G298/Liquor!$H298</f>
        <v>0.15164136435331232</v>
      </c>
      <c r="J298" s="24"/>
      <c r="K298" s="3"/>
      <c r="L298" s="3"/>
      <c r="M298" s="3">
        <f>SUM(Liquor!$J298:$L298)</f>
        <v>0</v>
      </c>
      <c r="N298" s="9">
        <f t="shared" si="5"/>
        <v>0</v>
      </c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">
      <c r="A299" s="24" t="s">
        <v>58</v>
      </c>
      <c r="B299" s="4">
        <v>25.36</v>
      </c>
      <c r="C299" s="25" t="s">
        <v>310</v>
      </c>
      <c r="D299" s="25" t="s">
        <v>311</v>
      </c>
      <c r="E299" s="9">
        <v>38.49</v>
      </c>
      <c r="F299" s="77">
        <f t="shared" si="7"/>
        <v>1.5177444794952684</v>
      </c>
      <c r="G299" s="77">
        <f>Liquor!$F299*1.5</f>
        <v>2.2766167192429023</v>
      </c>
      <c r="H299" s="66">
        <v>13</v>
      </c>
      <c r="I299" s="78">
        <f>Liquor!$G299/Liquor!$H299</f>
        <v>0.17512436301868478</v>
      </c>
      <c r="J299" s="47">
        <v>0.75</v>
      </c>
      <c r="K299" s="3"/>
      <c r="L299" s="3"/>
      <c r="M299" s="3">
        <f>SUM(Liquor!$J299:$L299)</f>
        <v>0.75</v>
      </c>
      <c r="N299" s="9">
        <f t="shared" si="5"/>
        <v>28.8675</v>
      </c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">
      <c r="A300" s="24" t="s">
        <v>58</v>
      </c>
      <c r="B300" s="4">
        <v>25.36</v>
      </c>
      <c r="C300" s="25" t="s">
        <v>312</v>
      </c>
      <c r="D300" s="25" t="s">
        <v>311</v>
      </c>
      <c r="E300" s="9">
        <v>56.61</v>
      </c>
      <c r="F300" s="77">
        <f t="shared" si="7"/>
        <v>2.2322555205047321</v>
      </c>
      <c r="G300" s="77">
        <f>Liquor!$F300*1.5</f>
        <v>3.3483832807570981</v>
      </c>
      <c r="H300" s="39">
        <v>18</v>
      </c>
      <c r="I300" s="78">
        <f>Liquor!$G300/Liquor!$H300</f>
        <v>0.18602129337539433</v>
      </c>
      <c r="J300" s="47">
        <v>0.95</v>
      </c>
      <c r="K300" s="3"/>
      <c r="L300" s="3"/>
      <c r="M300" s="3">
        <f>SUM(Liquor!$J300:$L300)</f>
        <v>0.95</v>
      </c>
      <c r="N300" s="9">
        <f t="shared" si="5"/>
        <v>53.779499999999999</v>
      </c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">
      <c r="A301" s="24" t="s">
        <v>58</v>
      </c>
      <c r="B301" s="4">
        <v>25.36</v>
      </c>
      <c r="C301" s="25" t="s">
        <v>313</v>
      </c>
      <c r="D301" s="25" t="s">
        <v>311</v>
      </c>
      <c r="E301" s="9">
        <v>53.09</v>
      </c>
      <c r="F301" s="77">
        <f t="shared" si="7"/>
        <v>2.0934542586750791</v>
      </c>
      <c r="G301" s="77">
        <f>Liquor!$F301*1.5</f>
        <v>3.1401813880126186</v>
      </c>
      <c r="H301" s="9">
        <v>17</v>
      </c>
      <c r="I301" s="78">
        <f>Liquor!$G301/Liquor!$H301</f>
        <v>0.18471655223603639</v>
      </c>
      <c r="J301" s="47">
        <v>0.95</v>
      </c>
      <c r="K301" s="3"/>
      <c r="L301" s="3"/>
      <c r="M301" s="3">
        <f>SUM(Liquor!$J301:$L301)</f>
        <v>0.95</v>
      </c>
      <c r="N301" s="9">
        <f t="shared" si="5"/>
        <v>50.435499999999998</v>
      </c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">
      <c r="A302" s="24" t="s">
        <v>58</v>
      </c>
      <c r="B302" s="4">
        <v>25.36</v>
      </c>
      <c r="C302" s="25" t="s">
        <v>314</v>
      </c>
      <c r="D302" s="25" t="s">
        <v>311</v>
      </c>
      <c r="E302" s="9">
        <v>155.16</v>
      </c>
      <c r="F302" s="77">
        <f t="shared" si="7"/>
        <v>6.118296529968454</v>
      </c>
      <c r="G302" s="77">
        <f>Liquor!$F302*1.5</f>
        <v>9.177444794952681</v>
      </c>
      <c r="H302" s="9">
        <v>35</v>
      </c>
      <c r="I302" s="78">
        <f>Liquor!$G302/Liquor!$H302</f>
        <v>0.26221270842721944</v>
      </c>
      <c r="J302" s="47">
        <v>0.8</v>
      </c>
      <c r="K302" s="3"/>
      <c r="L302" s="3"/>
      <c r="M302" s="3">
        <f>SUM(Liquor!$J302:$L302)</f>
        <v>0.8</v>
      </c>
      <c r="N302" s="9">
        <f t="shared" si="5"/>
        <v>124.128</v>
      </c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">
      <c r="A303" s="24" t="s">
        <v>44</v>
      </c>
      <c r="B303" s="4">
        <v>33.814</v>
      </c>
      <c r="C303" s="25" t="s">
        <v>315</v>
      </c>
      <c r="D303" s="25" t="s">
        <v>311</v>
      </c>
      <c r="E303" s="9">
        <v>28.79</v>
      </c>
      <c r="F303" s="77">
        <f t="shared" si="7"/>
        <v>0.85142248772697693</v>
      </c>
      <c r="G303" s="9">
        <f>Liquor!$F303*1.5</f>
        <v>1.2771337315904654</v>
      </c>
      <c r="H303" s="9">
        <v>12</v>
      </c>
      <c r="I303" s="6">
        <f>Liquor!$G303/Liquor!$H303</f>
        <v>0.10642781096587212</v>
      </c>
      <c r="J303" s="47">
        <v>0.6</v>
      </c>
      <c r="K303" s="3"/>
      <c r="L303" s="3"/>
      <c r="M303" s="3">
        <f>SUM(Liquor!$J303:$L303)</f>
        <v>0.6</v>
      </c>
      <c r="N303" s="9">
        <f t="shared" si="5"/>
        <v>17.273999999999997</v>
      </c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">
      <c r="A304" s="24" t="s">
        <v>44</v>
      </c>
      <c r="B304" s="4">
        <v>33.814</v>
      </c>
      <c r="C304" s="25" t="s">
        <v>316</v>
      </c>
      <c r="D304" s="25" t="s">
        <v>311</v>
      </c>
      <c r="E304" s="9">
        <v>26.61</v>
      </c>
      <c r="F304" s="9">
        <f t="shared" si="7"/>
        <v>0.78695214999704266</v>
      </c>
      <c r="G304" s="9">
        <f>Liquor!$F304*1.5</f>
        <v>1.180428224995564</v>
      </c>
      <c r="H304" s="9">
        <v>13</v>
      </c>
      <c r="I304" s="6">
        <f>Liquor!$G304/Liquor!$H304</f>
        <v>9.0802171153504918E-2</v>
      </c>
      <c r="J304" s="47">
        <v>0.25</v>
      </c>
      <c r="K304" s="3"/>
      <c r="L304" s="3"/>
      <c r="M304" s="3">
        <f>SUM(Liquor!$J304:$L304)</f>
        <v>0.25</v>
      </c>
      <c r="N304" s="9">
        <f t="shared" si="5"/>
        <v>6.6524999999999999</v>
      </c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">
      <c r="A305" s="41" t="s">
        <v>58</v>
      </c>
      <c r="B305" s="42">
        <v>25.36</v>
      </c>
      <c r="C305" s="14" t="s">
        <v>317</v>
      </c>
      <c r="D305" s="14" t="s">
        <v>311</v>
      </c>
      <c r="E305" s="36">
        <v>63.79</v>
      </c>
      <c r="F305" s="9">
        <f t="shared" si="7"/>
        <v>2.5153785488958991</v>
      </c>
      <c r="G305" s="9">
        <f>Liquor!$F305*1.5</f>
        <v>3.7730678233438484</v>
      </c>
      <c r="H305" s="45">
        <v>19</v>
      </c>
      <c r="I305" s="6">
        <f>Liquor!$G305/Liquor!$H305</f>
        <v>0.19858251701809729</v>
      </c>
      <c r="J305" s="63">
        <v>0.9</v>
      </c>
      <c r="K305" s="18"/>
      <c r="L305" s="18"/>
      <c r="M305" s="3">
        <f>SUM(Liquor!$J305:$L305)</f>
        <v>0.9</v>
      </c>
      <c r="N305" s="9">
        <f t="shared" si="5"/>
        <v>57.411000000000001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">
      <c r="A306" s="41" t="s">
        <v>58</v>
      </c>
      <c r="B306" s="42">
        <v>25.36</v>
      </c>
      <c r="C306" s="14" t="s">
        <v>318</v>
      </c>
      <c r="D306" s="14" t="s">
        <v>311</v>
      </c>
      <c r="E306" s="36">
        <v>65.55</v>
      </c>
      <c r="F306" s="36">
        <f t="shared" si="7"/>
        <v>2.5847791798107256</v>
      </c>
      <c r="G306" s="36">
        <f>Liquor!$F306*1.5</f>
        <v>3.8771687697160884</v>
      </c>
      <c r="H306" s="36">
        <v>16</v>
      </c>
      <c r="I306" s="16">
        <f>Liquor!$G306/Liquor!$H306</f>
        <v>0.24232304810725552</v>
      </c>
      <c r="J306" s="63">
        <v>0.1</v>
      </c>
      <c r="K306" s="18"/>
      <c r="L306" s="18"/>
      <c r="M306" s="18">
        <f>SUM(Liquor!$J306:$L306)</f>
        <v>0.1</v>
      </c>
      <c r="N306" s="36">
        <f t="shared" si="5"/>
        <v>6.5549999999999997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">
      <c r="A307" s="24" t="s">
        <v>58</v>
      </c>
      <c r="B307" s="4">
        <v>25.36</v>
      </c>
      <c r="C307" s="25" t="s">
        <v>319</v>
      </c>
      <c r="D307" s="14" t="s">
        <v>311</v>
      </c>
      <c r="E307" s="9">
        <v>61.3</v>
      </c>
      <c r="F307" s="36">
        <f t="shared" si="7"/>
        <v>2.4171924290220819</v>
      </c>
      <c r="G307" s="36">
        <f>Liquor!$F307*1.5</f>
        <v>3.6257886435331228</v>
      </c>
      <c r="H307" s="36">
        <v>23</v>
      </c>
      <c r="I307" s="16">
        <f>Liquor!$G307/Liquor!$H307</f>
        <v>0.15764298450144013</v>
      </c>
      <c r="J307" s="47">
        <v>0.7</v>
      </c>
      <c r="K307" s="3"/>
      <c r="L307" s="3"/>
      <c r="M307" s="18">
        <f>SUM(Liquor!$J307:$L307)</f>
        <v>0.7</v>
      </c>
      <c r="N307" s="36">
        <f t="shared" si="5"/>
        <v>42.91</v>
      </c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">
      <c r="A308" s="24" t="s">
        <v>58</v>
      </c>
      <c r="B308" s="4">
        <v>25.36</v>
      </c>
      <c r="C308" s="25" t="s">
        <v>320</v>
      </c>
      <c r="D308" s="14" t="s">
        <v>311</v>
      </c>
      <c r="E308" s="9">
        <v>56.9</v>
      </c>
      <c r="F308" s="36">
        <f t="shared" si="7"/>
        <v>2.2436908517350158</v>
      </c>
      <c r="G308" s="36">
        <f>Liquor!$F308*1.5</f>
        <v>3.3655362776025237</v>
      </c>
      <c r="H308" s="39">
        <v>17</v>
      </c>
      <c r="I308" s="16">
        <f>Liquor!$G308/Liquor!$H308</f>
        <v>0.19797272221191317</v>
      </c>
      <c r="J308" s="47">
        <v>0.9</v>
      </c>
      <c r="K308" s="3"/>
      <c r="L308" s="3"/>
      <c r="M308" s="18">
        <f>SUM(Liquor!$J308:$L308)</f>
        <v>0.9</v>
      </c>
      <c r="N308" s="36">
        <f t="shared" ref="N308:N374" si="8">$M308*$E308</f>
        <v>51.21</v>
      </c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">
      <c r="A309" s="24" t="s">
        <v>58</v>
      </c>
      <c r="B309" s="4">
        <v>25.36</v>
      </c>
      <c r="C309" s="25" t="s">
        <v>321</v>
      </c>
      <c r="D309" s="25" t="s">
        <v>311</v>
      </c>
      <c r="E309" s="9">
        <v>51.69</v>
      </c>
      <c r="F309" s="9">
        <f t="shared" si="7"/>
        <v>2.038249211356467</v>
      </c>
      <c r="G309" s="9">
        <f>Liquor!$F309*1.5</f>
        <v>3.0573738170347005</v>
      </c>
      <c r="H309" s="9">
        <v>16</v>
      </c>
      <c r="I309" s="6">
        <f>Liquor!$G309/Liquor!$H309</f>
        <v>0.19108586356466878</v>
      </c>
      <c r="J309" s="24"/>
      <c r="K309" s="3"/>
      <c r="L309" s="3"/>
      <c r="M309" s="3">
        <f>SUM(Liquor!$J309:$L309)</f>
        <v>0</v>
      </c>
      <c r="N309" s="9">
        <f t="shared" si="8"/>
        <v>0</v>
      </c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">
      <c r="A310" s="34" t="s">
        <v>44</v>
      </c>
      <c r="B310" s="35">
        <v>33.814</v>
      </c>
      <c r="C310" s="14" t="s">
        <v>321</v>
      </c>
      <c r="D310" s="14" t="s">
        <v>311</v>
      </c>
      <c r="E310" s="36">
        <v>59.26</v>
      </c>
      <c r="F310" s="36">
        <f t="shared" si="7"/>
        <v>1.7525285384751876</v>
      </c>
      <c r="G310" s="36">
        <f>Liquor!$F310*1.5</f>
        <v>2.6287928077127813</v>
      </c>
      <c r="H310" s="36">
        <v>16</v>
      </c>
      <c r="I310" s="16">
        <f>Liquor!$G310/Liquor!$H310</f>
        <v>0.16429955048204883</v>
      </c>
      <c r="J310" s="46">
        <v>0.4</v>
      </c>
      <c r="K310" s="18"/>
      <c r="L310" s="18"/>
      <c r="M310" s="18">
        <f>SUM(Liquor!$J310:$L310)</f>
        <v>0.4</v>
      </c>
      <c r="N310" s="36">
        <f t="shared" si="8"/>
        <v>23.704000000000001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">
      <c r="A311" s="24" t="s">
        <v>58</v>
      </c>
      <c r="B311" s="4">
        <v>25.36</v>
      </c>
      <c r="C311" s="25" t="s">
        <v>322</v>
      </c>
      <c r="D311" s="25" t="s">
        <v>311</v>
      </c>
      <c r="E311" s="9">
        <v>53.42</v>
      </c>
      <c r="F311" s="9">
        <f t="shared" si="7"/>
        <v>2.1064668769716088</v>
      </c>
      <c r="G311" s="9">
        <f>Liquor!$F311*1.5</f>
        <v>3.159700315457413</v>
      </c>
      <c r="H311" s="9">
        <v>18</v>
      </c>
      <c r="I311" s="6">
        <f>Liquor!$G311/Liquor!$H311</f>
        <v>0.17553890641430073</v>
      </c>
      <c r="J311" s="47">
        <v>0.4</v>
      </c>
      <c r="K311" s="3"/>
      <c r="L311" s="3"/>
      <c r="M311" s="3">
        <f>SUM(Liquor!$J311:$L311)</f>
        <v>0.4</v>
      </c>
      <c r="N311" s="9">
        <f t="shared" si="8"/>
        <v>21.368000000000002</v>
      </c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">
      <c r="A312" s="41" t="s">
        <v>58</v>
      </c>
      <c r="B312" s="42">
        <v>25.36</v>
      </c>
      <c r="C312" s="14" t="s">
        <v>323</v>
      </c>
      <c r="D312" s="14" t="s">
        <v>311</v>
      </c>
      <c r="E312" s="36">
        <v>36.61</v>
      </c>
      <c r="F312" s="36">
        <f t="shared" si="7"/>
        <v>1.4436119873817035</v>
      </c>
      <c r="G312" s="36">
        <f>Liquor!$F312*1.5</f>
        <v>2.1654179810725553</v>
      </c>
      <c r="H312" s="36">
        <v>13</v>
      </c>
      <c r="I312" s="16">
        <f>Liquor!$G312/Liquor!$H312</f>
        <v>0.1665706139286581</v>
      </c>
      <c r="J312" s="63">
        <v>0.8</v>
      </c>
      <c r="K312" s="18"/>
      <c r="L312" s="18"/>
      <c r="M312" s="18">
        <f>SUM(Liquor!$J312:$L312)</f>
        <v>0.8</v>
      </c>
      <c r="N312" s="36">
        <f t="shared" si="8"/>
        <v>29.288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24" t="s">
        <v>44</v>
      </c>
      <c r="B313" s="4">
        <v>33.814</v>
      </c>
      <c r="C313" s="25" t="s">
        <v>324</v>
      </c>
      <c r="D313" s="25" t="s">
        <v>311</v>
      </c>
      <c r="E313" s="9">
        <v>42.58</v>
      </c>
      <c r="F313" s="9">
        <f t="shared" si="7"/>
        <v>1.2592417341929378</v>
      </c>
      <c r="G313" s="9">
        <f>Liquor!$F313*1.5</f>
        <v>1.8888626012894068</v>
      </c>
      <c r="H313" s="9">
        <v>13</v>
      </c>
      <c r="I313" s="6">
        <f>Liquor!$G313/Liquor!$H313</f>
        <v>0.14529712317610821</v>
      </c>
      <c r="J313" s="24"/>
      <c r="K313" s="3"/>
      <c r="L313" s="3"/>
      <c r="M313" s="3">
        <f>SUM(Liquor!$J313:$L313)</f>
        <v>0</v>
      </c>
      <c r="N313" s="9">
        <f t="shared" si="8"/>
        <v>0</v>
      </c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">
      <c r="A314" s="24" t="s">
        <v>58</v>
      </c>
      <c r="B314" s="4">
        <v>25.36</v>
      </c>
      <c r="C314" s="25" t="s">
        <v>325</v>
      </c>
      <c r="D314" s="25" t="s">
        <v>311</v>
      </c>
      <c r="E314" s="37">
        <v>223.29</v>
      </c>
      <c r="F314" s="9">
        <f t="shared" si="7"/>
        <v>8.8048107255520502</v>
      </c>
      <c r="G314" s="9">
        <f>Liquor!$F314*1.5</f>
        <v>13.207216088328074</v>
      </c>
      <c r="H314" s="9">
        <v>70</v>
      </c>
      <c r="I314" s="6">
        <f>Liquor!$G314/Liquor!$H314</f>
        <v>0.18867451554754391</v>
      </c>
      <c r="J314" s="47">
        <v>0.5</v>
      </c>
      <c r="K314" s="3"/>
      <c r="L314" s="3"/>
      <c r="M314" s="3">
        <f>SUM(Liquor!$J314:$L314)</f>
        <v>0.5</v>
      </c>
      <c r="N314" s="9">
        <f t="shared" si="8"/>
        <v>111.645</v>
      </c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">
      <c r="A315" s="24" t="s">
        <v>58</v>
      </c>
      <c r="B315" s="4">
        <v>25.36</v>
      </c>
      <c r="C315" s="25" t="s">
        <v>326</v>
      </c>
      <c r="D315" s="25" t="s">
        <v>311</v>
      </c>
      <c r="E315" s="9">
        <v>85.62</v>
      </c>
      <c r="F315" s="9">
        <f t="shared" si="7"/>
        <v>3.3761829652996846</v>
      </c>
      <c r="G315" s="9">
        <f>Liquor!$F315*1.5</f>
        <v>5.0642744479495274</v>
      </c>
      <c r="H315" s="9">
        <v>26</v>
      </c>
      <c r="I315" s="6">
        <f>Liquor!$G315/Liquor!$H315</f>
        <v>0.1947797864595972</v>
      </c>
      <c r="J315" s="47">
        <v>0.3</v>
      </c>
      <c r="K315" s="3"/>
      <c r="L315" s="3"/>
      <c r="M315" s="3">
        <f>SUM(Liquor!$J315:$L315)</f>
        <v>0.3</v>
      </c>
      <c r="N315" s="9">
        <f t="shared" si="8"/>
        <v>25.686</v>
      </c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">
      <c r="A316" s="24" t="s">
        <v>58</v>
      </c>
      <c r="B316" s="4">
        <v>25.36</v>
      </c>
      <c r="C316" s="25" t="s">
        <v>327</v>
      </c>
      <c r="D316" s="25" t="s">
        <v>311</v>
      </c>
      <c r="E316" s="9">
        <v>55.15</v>
      </c>
      <c r="F316" s="9">
        <f t="shared" si="7"/>
        <v>2.1746845425867507</v>
      </c>
      <c r="G316" s="9">
        <f>Liquor!$F316*1.5</f>
        <v>3.2620268138801261</v>
      </c>
      <c r="H316" s="9">
        <v>16</v>
      </c>
      <c r="I316" s="6">
        <f>Liquor!$G316/Liquor!$H316</f>
        <v>0.20387667586750788</v>
      </c>
      <c r="J316" s="47">
        <v>0.05</v>
      </c>
      <c r="K316" s="3"/>
      <c r="L316" s="3"/>
      <c r="M316" s="3">
        <f>SUM(Liquor!$J316:$L316)</f>
        <v>0.05</v>
      </c>
      <c r="N316" s="9">
        <f t="shared" si="8"/>
        <v>2.7575000000000003</v>
      </c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">
      <c r="A317" s="24" t="s">
        <v>58</v>
      </c>
      <c r="B317" s="4">
        <v>25.36</v>
      </c>
      <c r="C317" s="25" t="s">
        <v>328</v>
      </c>
      <c r="D317" s="25" t="s">
        <v>311</v>
      </c>
      <c r="E317" s="9">
        <v>82.45</v>
      </c>
      <c r="F317" s="9">
        <f t="shared" si="7"/>
        <v>3.2511829652996846</v>
      </c>
      <c r="G317" s="9">
        <f>Liquor!$F317*1.5</f>
        <v>4.8767744479495274</v>
      </c>
      <c r="H317" s="9">
        <v>25</v>
      </c>
      <c r="I317" s="6">
        <f>Liquor!$G317/Liquor!$H317</f>
        <v>0.19507097791798109</v>
      </c>
      <c r="J317" s="24"/>
      <c r="K317" s="3"/>
      <c r="L317" s="3"/>
      <c r="M317" s="3">
        <f>SUM(Liquor!$J317:$L317)</f>
        <v>0</v>
      </c>
      <c r="N317" s="9">
        <f t="shared" si="8"/>
        <v>0</v>
      </c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">
      <c r="A318" s="24" t="s">
        <v>58</v>
      </c>
      <c r="B318" s="4">
        <v>25.36</v>
      </c>
      <c r="C318" s="25" t="s">
        <v>329</v>
      </c>
      <c r="D318" s="25" t="s">
        <v>311</v>
      </c>
      <c r="E318" s="9">
        <v>32.75</v>
      </c>
      <c r="F318" s="9">
        <f t="shared" si="7"/>
        <v>1.2914037854889591</v>
      </c>
      <c r="G318" s="9">
        <f>Liquor!$F318*1.5</f>
        <v>1.9371056782334386</v>
      </c>
      <c r="H318" s="9">
        <v>15</v>
      </c>
      <c r="I318" s="6">
        <f>Liquor!$G318/Liquor!$H318</f>
        <v>0.1291403785488959</v>
      </c>
      <c r="J318" s="47">
        <v>0.6</v>
      </c>
      <c r="K318" s="3"/>
      <c r="L318" s="3"/>
      <c r="M318" s="3">
        <f>SUM(Liquor!$J318:$L318)</f>
        <v>0.6</v>
      </c>
      <c r="N318" s="9">
        <f t="shared" si="8"/>
        <v>19.649999999999999</v>
      </c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">
      <c r="A319" s="24" t="s">
        <v>58</v>
      </c>
      <c r="B319" s="4">
        <v>25.36</v>
      </c>
      <c r="C319" s="25" t="s">
        <v>330</v>
      </c>
      <c r="D319" s="25" t="s">
        <v>311</v>
      </c>
      <c r="E319" s="9">
        <v>40.89</v>
      </c>
      <c r="F319" s="77">
        <f t="shared" si="7"/>
        <v>1.6123817034700316</v>
      </c>
      <c r="G319" s="77">
        <f>Liquor!$F319*1.5</f>
        <v>2.4185725552050474</v>
      </c>
      <c r="H319" s="9">
        <v>15</v>
      </c>
      <c r="I319" s="78">
        <f>Liquor!$G319/Liquor!$H319</f>
        <v>0.16123817034700316</v>
      </c>
      <c r="J319" s="47">
        <v>0.1</v>
      </c>
      <c r="K319" s="3"/>
      <c r="L319" s="3"/>
      <c r="M319" s="3">
        <f>SUM(Liquor!$J319:$L319)</f>
        <v>0.1</v>
      </c>
      <c r="N319" s="9">
        <f t="shared" si="8"/>
        <v>4.0890000000000004</v>
      </c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">
      <c r="A320" s="24" t="s">
        <v>58</v>
      </c>
      <c r="B320" s="4">
        <v>25.36</v>
      </c>
      <c r="C320" s="25" t="s">
        <v>331</v>
      </c>
      <c r="D320" s="25" t="s">
        <v>311</v>
      </c>
      <c r="E320" s="9">
        <v>90.23</v>
      </c>
      <c r="F320" s="9">
        <f t="shared" si="7"/>
        <v>3.5579652996845428</v>
      </c>
      <c r="G320" s="9">
        <f>Liquor!$F320*1.5</f>
        <v>5.336947949526814</v>
      </c>
      <c r="H320" s="39">
        <v>25</v>
      </c>
      <c r="I320" s="6">
        <f>Liquor!$G320/Liquor!$H320</f>
        <v>0.21347791798107255</v>
      </c>
      <c r="J320" s="47">
        <v>0.6</v>
      </c>
      <c r="K320" s="3"/>
      <c r="L320" s="3"/>
      <c r="M320" s="3">
        <f>SUM(Liquor!$J320:$L320)</f>
        <v>0.6</v>
      </c>
      <c r="N320" s="9">
        <f t="shared" si="8"/>
        <v>54.137999999999998</v>
      </c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">
      <c r="A321" s="24" t="s">
        <v>58</v>
      </c>
      <c r="B321" s="4">
        <v>25.36</v>
      </c>
      <c r="C321" s="25" t="s">
        <v>332</v>
      </c>
      <c r="D321" s="25" t="s">
        <v>311</v>
      </c>
      <c r="E321" s="9">
        <v>78.13</v>
      </c>
      <c r="F321" s="9">
        <f t="shared" si="7"/>
        <v>3.0808359621451102</v>
      </c>
      <c r="G321" s="9">
        <f>Liquor!$F321*1.5</f>
        <v>4.6212539432176651</v>
      </c>
      <c r="H321" s="9">
        <v>23</v>
      </c>
      <c r="I321" s="6">
        <f>Liquor!$G321/Liquor!$H321</f>
        <v>0.20092408448772456</v>
      </c>
      <c r="J321" s="47">
        <v>0.5</v>
      </c>
      <c r="K321" s="3"/>
      <c r="L321" s="3"/>
      <c r="M321" s="3">
        <f>SUM(Liquor!$J321:$L321)</f>
        <v>0.5</v>
      </c>
      <c r="N321" s="9">
        <f t="shared" si="8"/>
        <v>39.064999999999998</v>
      </c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">
      <c r="A322" s="24" t="s">
        <v>58</v>
      </c>
      <c r="B322" s="4">
        <v>25.36</v>
      </c>
      <c r="C322" s="31" t="s">
        <v>333</v>
      </c>
      <c r="D322" s="25" t="s">
        <v>334</v>
      </c>
      <c r="E322" s="9">
        <v>35.380000000000003</v>
      </c>
      <c r="F322" s="9">
        <f t="shared" si="7"/>
        <v>1.3951104100946374</v>
      </c>
      <c r="G322" s="9">
        <f>Liquor!$F322*1.5</f>
        <v>2.0926656151419563</v>
      </c>
      <c r="H322" s="9">
        <v>14</v>
      </c>
      <c r="I322" s="6">
        <f>Liquor!$G322/Liquor!$H322</f>
        <v>0.14947611536728259</v>
      </c>
      <c r="J322" s="47">
        <v>0.8</v>
      </c>
      <c r="K322" s="3"/>
      <c r="L322" s="3"/>
      <c r="M322" s="3">
        <f>SUM(Liquor!$J322:$L322)</f>
        <v>0.8</v>
      </c>
      <c r="N322" s="9">
        <f t="shared" si="8"/>
        <v>28.304000000000002</v>
      </c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">
      <c r="A323" s="34" t="s">
        <v>44</v>
      </c>
      <c r="B323" s="35">
        <v>33.814</v>
      </c>
      <c r="C323" s="43" t="s">
        <v>335</v>
      </c>
      <c r="D323" s="14" t="s">
        <v>334</v>
      </c>
      <c r="E323" s="36">
        <v>24.7</v>
      </c>
      <c r="F323" s="9">
        <f t="shared" si="7"/>
        <v>0.73046667060980652</v>
      </c>
      <c r="G323" s="9">
        <f>Liquor!$F323*1.5</f>
        <v>1.0957000059147097</v>
      </c>
      <c r="H323" s="9">
        <v>14</v>
      </c>
      <c r="I323" s="6">
        <f>Liquor!$G323/Liquor!$H323</f>
        <v>7.8264286136764977E-2</v>
      </c>
      <c r="J323" s="10"/>
      <c r="K323" s="18"/>
      <c r="L323" s="18"/>
      <c r="M323" s="18">
        <f>SUM(Liquor!$J323:$L323)</f>
        <v>0</v>
      </c>
      <c r="N323" s="36">
        <f t="shared" si="8"/>
        <v>0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">
      <c r="A324" s="24" t="s">
        <v>44</v>
      </c>
      <c r="B324" s="4">
        <v>33.814</v>
      </c>
      <c r="C324" s="31" t="s">
        <v>336</v>
      </c>
      <c r="D324" s="25" t="s">
        <v>334</v>
      </c>
      <c r="E324" s="9">
        <v>17.170000000000002</v>
      </c>
      <c r="F324" s="9">
        <f t="shared" si="7"/>
        <v>0.50777784349677657</v>
      </c>
      <c r="G324" s="9">
        <f>Liquor!$F324*1.5</f>
        <v>0.76166676524516486</v>
      </c>
      <c r="H324" s="39">
        <v>12</v>
      </c>
      <c r="I324" s="6">
        <f>Liquor!$G324/Liquor!$H324</f>
        <v>6.3472230437097071E-2</v>
      </c>
      <c r="J324" s="47">
        <v>0.8</v>
      </c>
      <c r="K324" s="3"/>
      <c r="L324" s="3"/>
      <c r="M324" s="30">
        <f>SUM(Liquor!$J324:$L324)+$J412+$J431</f>
        <v>0.8</v>
      </c>
      <c r="N324" s="9">
        <f t="shared" si="8"/>
        <v>13.736000000000002</v>
      </c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">
      <c r="A325" s="41" t="s">
        <v>58</v>
      </c>
      <c r="B325" s="42">
        <v>25.36</v>
      </c>
      <c r="C325" s="14" t="s">
        <v>337</v>
      </c>
      <c r="D325" s="14" t="s">
        <v>334</v>
      </c>
      <c r="E325" s="36">
        <v>44.47</v>
      </c>
      <c r="F325" s="36">
        <f t="shared" si="7"/>
        <v>1.7535488958990537</v>
      </c>
      <c r="G325" s="36">
        <f>Liquor!$F325*1.5</f>
        <v>2.6303233438485805</v>
      </c>
      <c r="H325" s="36">
        <v>14</v>
      </c>
      <c r="I325" s="16">
        <f>Liquor!$G325/Liquor!$H325</f>
        <v>0.18788023884632718</v>
      </c>
      <c r="J325" s="10"/>
      <c r="K325" s="18"/>
      <c r="L325" s="18"/>
      <c r="M325" s="18">
        <f>SUM(Liquor!$J325:$L325)</f>
        <v>0</v>
      </c>
      <c r="N325" s="36">
        <f t="shared" si="8"/>
        <v>0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24" t="s">
        <v>44</v>
      </c>
      <c r="B326" s="4">
        <v>33.814</v>
      </c>
      <c r="C326" s="25" t="s">
        <v>337</v>
      </c>
      <c r="D326" s="25" t="s">
        <v>334</v>
      </c>
      <c r="E326" s="39">
        <v>47.96</v>
      </c>
      <c r="F326" s="9">
        <f t="shared" si="7"/>
        <v>1.4183474300585557</v>
      </c>
      <c r="G326" s="9">
        <f>Liquor!$F326*1.5</f>
        <v>2.1275211450878335</v>
      </c>
      <c r="H326" s="39">
        <v>14</v>
      </c>
      <c r="I326" s="6">
        <f>Liquor!$G326/Liquor!$H326</f>
        <v>0.15196579607770239</v>
      </c>
      <c r="J326" s="47">
        <v>1</v>
      </c>
      <c r="K326" s="3"/>
      <c r="L326" s="3"/>
      <c r="M326" s="3">
        <f>SUM(Liquor!$J326:$L326)</f>
        <v>1</v>
      </c>
      <c r="N326" s="9">
        <f t="shared" si="8"/>
        <v>47.96</v>
      </c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">
      <c r="A327" s="41" t="s">
        <v>58</v>
      </c>
      <c r="B327" s="42">
        <v>25.36</v>
      </c>
      <c r="C327" s="14" t="s">
        <v>338</v>
      </c>
      <c r="D327" s="14" t="s">
        <v>334</v>
      </c>
      <c r="E327" s="36">
        <v>52.06</v>
      </c>
      <c r="F327" s="36">
        <f t="shared" si="7"/>
        <v>2.0528391167192432</v>
      </c>
      <c r="G327" s="36">
        <f>Liquor!$F327*1.5</f>
        <v>3.0792586750788651</v>
      </c>
      <c r="H327" s="36">
        <v>16</v>
      </c>
      <c r="I327" s="16">
        <f>Liquor!$G327/Liquor!$H327</f>
        <v>0.19245366719242907</v>
      </c>
      <c r="J327" s="10"/>
      <c r="K327" s="18"/>
      <c r="L327" s="18"/>
      <c r="M327" s="18">
        <f>SUM(Liquor!$J327:$L327)</f>
        <v>0</v>
      </c>
      <c r="N327" s="36">
        <f t="shared" si="8"/>
        <v>0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24" t="s">
        <v>44</v>
      </c>
      <c r="B328" s="4">
        <v>33.814</v>
      </c>
      <c r="C328" s="25" t="s">
        <v>338</v>
      </c>
      <c r="D328" s="25" t="s">
        <v>334</v>
      </c>
      <c r="E328" s="39">
        <v>52.3</v>
      </c>
      <c r="F328" s="9">
        <f t="shared" si="7"/>
        <v>1.5466966345300761</v>
      </c>
      <c r="G328" s="9">
        <f>Liquor!$F328*1.5</f>
        <v>2.3200449517951141</v>
      </c>
      <c r="H328" s="39">
        <v>16</v>
      </c>
      <c r="I328" s="6">
        <f>Liquor!$G328/Liquor!$H328</f>
        <v>0.14500280948719463</v>
      </c>
      <c r="J328" s="47">
        <v>1</v>
      </c>
      <c r="K328" s="3"/>
      <c r="L328" s="3"/>
      <c r="M328" s="3">
        <f>SUM(Liquor!$J328:$L328)</f>
        <v>1</v>
      </c>
      <c r="N328" s="9">
        <f t="shared" si="8"/>
        <v>52.3</v>
      </c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">
      <c r="A329" s="24" t="s">
        <v>44</v>
      </c>
      <c r="B329" s="4">
        <v>33.814</v>
      </c>
      <c r="C329" s="43" t="s">
        <v>339</v>
      </c>
      <c r="D329" s="25" t="s">
        <v>334</v>
      </c>
      <c r="E329" s="9">
        <v>24.46</v>
      </c>
      <c r="F329" s="9">
        <f t="shared" si="7"/>
        <v>0.72336901874963033</v>
      </c>
      <c r="G329" s="9">
        <f>Liquor!$F329*1.5</f>
        <v>1.0850535281244456</v>
      </c>
      <c r="H329" s="9">
        <v>10</v>
      </c>
      <c r="I329" s="6">
        <f>Liquor!$G329/Liquor!$H329</f>
        <v>0.10850535281244456</v>
      </c>
      <c r="J329" s="47">
        <v>0.6</v>
      </c>
      <c r="K329" s="3"/>
      <c r="L329" s="3"/>
      <c r="M329" s="3">
        <f>SUM(Liquor!$J329:$L329)</f>
        <v>0.6</v>
      </c>
      <c r="N329" s="9">
        <f t="shared" si="8"/>
        <v>14.676</v>
      </c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">
      <c r="A330" s="24" t="s">
        <v>58</v>
      </c>
      <c r="B330" s="4">
        <v>25.36</v>
      </c>
      <c r="C330" s="25" t="s">
        <v>340</v>
      </c>
      <c r="D330" s="25" t="s">
        <v>334</v>
      </c>
      <c r="E330" s="9">
        <v>52.84</v>
      </c>
      <c r="F330" s="9">
        <f t="shared" si="7"/>
        <v>2.0835962145110414</v>
      </c>
      <c r="G330" s="9">
        <f>Liquor!$F330*1.5</f>
        <v>3.1253943217665618</v>
      </c>
      <c r="H330" s="9">
        <v>18</v>
      </c>
      <c r="I330" s="6">
        <f>Liquor!$G330/Liquor!$H330</f>
        <v>0.17363301787592011</v>
      </c>
      <c r="J330" s="47">
        <v>0.9</v>
      </c>
      <c r="K330" s="3"/>
      <c r="L330" s="3"/>
      <c r="M330" s="3">
        <f>SUM(Liquor!$J330:$L330)</f>
        <v>0.9</v>
      </c>
      <c r="N330" s="9">
        <f t="shared" si="8"/>
        <v>47.556000000000004</v>
      </c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">
      <c r="A331" s="24" t="s">
        <v>58</v>
      </c>
      <c r="B331" s="4">
        <v>25.36</v>
      </c>
      <c r="C331" s="25" t="s">
        <v>341</v>
      </c>
      <c r="D331" s="25" t="s">
        <v>334</v>
      </c>
      <c r="E331" s="9">
        <v>43.97</v>
      </c>
      <c r="F331" s="9">
        <f t="shared" si="7"/>
        <v>1.7338328075709779</v>
      </c>
      <c r="G331" s="9">
        <f>Liquor!$F331*1.5</f>
        <v>2.600749211356467</v>
      </c>
      <c r="H331" s="9">
        <v>16</v>
      </c>
      <c r="I331" s="6">
        <f>Liquor!$G331/Liquor!$H331</f>
        <v>0.16254682570977919</v>
      </c>
      <c r="J331" s="47">
        <v>0.25</v>
      </c>
      <c r="K331" s="3"/>
      <c r="L331" s="3"/>
      <c r="M331" s="3">
        <f>SUM(Liquor!$J331:$L331)</f>
        <v>0.25</v>
      </c>
      <c r="N331" s="9">
        <f t="shared" si="8"/>
        <v>10.9925</v>
      </c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">
      <c r="A332" s="24" t="s">
        <v>58</v>
      </c>
      <c r="B332" s="4">
        <v>25.36</v>
      </c>
      <c r="C332" s="25" t="s">
        <v>342</v>
      </c>
      <c r="D332" s="25" t="s">
        <v>334</v>
      </c>
      <c r="E332" s="9">
        <v>68.180000000000007</v>
      </c>
      <c r="F332" s="9">
        <f t="shared" si="7"/>
        <v>2.6884858044164042</v>
      </c>
      <c r="G332" s="9">
        <f>Liquor!$F332*1.5</f>
        <v>4.0327287066246065</v>
      </c>
      <c r="H332" s="9">
        <v>24</v>
      </c>
      <c r="I332" s="6">
        <f>Liquor!$G332/Liquor!$H332</f>
        <v>0.16803036277602526</v>
      </c>
      <c r="J332" s="47">
        <v>0.5</v>
      </c>
      <c r="K332" s="3"/>
      <c r="L332" s="3"/>
      <c r="M332" s="3">
        <f>SUM(Liquor!$J332:$L332)</f>
        <v>0.5</v>
      </c>
      <c r="N332" s="9">
        <f t="shared" si="8"/>
        <v>34.090000000000003</v>
      </c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">
      <c r="A333" s="24" t="s">
        <v>58</v>
      </c>
      <c r="B333" s="4">
        <v>25.36</v>
      </c>
      <c r="C333" s="25" t="s">
        <v>343</v>
      </c>
      <c r="D333" s="25" t="s">
        <v>334</v>
      </c>
      <c r="E333" s="9">
        <v>151.24</v>
      </c>
      <c r="F333" s="9">
        <f t="shared" si="7"/>
        <v>5.9637223974763414</v>
      </c>
      <c r="G333" s="9">
        <f>Liquor!$F333*1.5</f>
        <v>8.9455835962145116</v>
      </c>
      <c r="H333" s="39">
        <v>40</v>
      </c>
      <c r="I333" s="6">
        <f>Liquor!$G333/Liquor!$H333</f>
        <v>0.22363958990536278</v>
      </c>
      <c r="J333" s="24"/>
      <c r="K333" s="3"/>
      <c r="L333" s="3"/>
      <c r="M333" s="3">
        <f>SUM(Liquor!$J333:$L333)</f>
        <v>0</v>
      </c>
      <c r="N333" s="9">
        <f t="shared" si="8"/>
        <v>0</v>
      </c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">
      <c r="A334" s="24" t="s">
        <v>58</v>
      </c>
      <c r="B334" s="4">
        <v>25.36</v>
      </c>
      <c r="C334" s="25" t="s">
        <v>344</v>
      </c>
      <c r="D334" s="25" t="s">
        <v>334</v>
      </c>
      <c r="E334" s="9">
        <v>108.81</v>
      </c>
      <c r="F334" s="9">
        <f t="shared" si="7"/>
        <v>4.2906151419558363</v>
      </c>
      <c r="G334" s="9">
        <f>Liquor!$F334*1.5</f>
        <v>6.4359227129337544</v>
      </c>
      <c r="H334" s="9">
        <v>28</v>
      </c>
      <c r="I334" s="6">
        <f>Liquor!$G334/Liquor!$H334</f>
        <v>0.22985438260477695</v>
      </c>
      <c r="J334" s="47">
        <v>0.8</v>
      </c>
      <c r="K334" s="3"/>
      <c r="L334" s="3"/>
      <c r="M334" s="3">
        <f>SUM(Liquor!$J334:$L334)</f>
        <v>0.8</v>
      </c>
      <c r="N334" s="9">
        <f t="shared" si="8"/>
        <v>87.048000000000002</v>
      </c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">
      <c r="A335" s="24" t="s">
        <v>117</v>
      </c>
      <c r="B335" s="4">
        <v>23.6</v>
      </c>
      <c r="C335" s="25" t="s">
        <v>345</v>
      </c>
      <c r="D335" s="25" t="s">
        <v>334</v>
      </c>
      <c r="E335" s="9">
        <v>31.38</v>
      </c>
      <c r="F335" s="9">
        <f t="shared" si="7"/>
        <v>1.3296610169491525</v>
      </c>
      <c r="G335" s="9">
        <f>Liquor!$F335*1.5</f>
        <v>1.9944915254237288</v>
      </c>
      <c r="H335" s="9">
        <v>14</v>
      </c>
      <c r="I335" s="6">
        <f>Liquor!$G335/Liquor!$H335</f>
        <v>0.1424636803874092</v>
      </c>
      <c r="J335" s="47">
        <v>0.7</v>
      </c>
      <c r="K335" s="3"/>
      <c r="L335" s="3"/>
      <c r="M335" s="3">
        <f>SUM(Liquor!$J335:$L335)</f>
        <v>0.7</v>
      </c>
      <c r="N335" s="9">
        <f t="shared" si="8"/>
        <v>21.965999999999998</v>
      </c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">
      <c r="A336" s="24" t="s">
        <v>117</v>
      </c>
      <c r="B336" s="4">
        <v>23.6</v>
      </c>
      <c r="C336" s="25" t="s">
        <v>346</v>
      </c>
      <c r="D336" s="25" t="s">
        <v>334</v>
      </c>
      <c r="E336" s="9">
        <v>39.229999999999997</v>
      </c>
      <c r="F336" s="9">
        <f t="shared" si="7"/>
        <v>1.6622881355932202</v>
      </c>
      <c r="G336" s="9">
        <f>Liquor!$F336*1.5</f>
        <v>2.4934322033898302</v>
      </c>
      <c r="H336" s="9">
        <v>16</v>
      </c>
      <c r="I336" s="6">
        <f>Liquor!$G336/Liquor!$H336</f>
        <v>0.15583951271186439</v>
      </c>
      <c r="J336" s="47">
        <v>0.85</v>
      </c>
      <c r="K336" s="3"/>
      <c r="L336" s="3"/>
      <c r="M336" s="3">
        <f>SUM(Liquor!$J336:$L336)</f>
        <v>0.85</v>
      </c>
      <c r="N336" s="9">
        <f t="shared" si="8"/>
        <v>33.345499999999994</v>
      </c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">
      <c r="A337" s="24" t="s">
        <v>58</v>
      </c>
      <c r="B337" s="4">
        <v>25.36</v>
      </c>
      <c r="C337" s="25" t="s">
        <v>347</v>
      </c>
      <c r="D337" s="25" t="s">
        <v>334</v>
      </c>
      <c r="E337" s="9">
        <v>166.35</v>
      </c>
      <c r="F337" s="9">
        <f t="shared" si="7"/>
        <v>6.5595425867507888</v>
      </c>
      <c r="G337" s="9">
        <f>Liquor!$F337*1.5</f>
        <v>9.8393138801261841</v>
      </c>
      <c r="H337" s="39">
        <v>38</v>
      </c>
      <c r="I337" s="6">
        <f>Liquor!$G337/Liquor!$H337</f>
        <v>0.2589293126348996</v>
      </c>
      <c r="J337" s="47">
        <v>0.5</v>
      </c>
      <c r="K337" s="3"/>
      <c r="L337" s="3"/>
      <c r="M337" s="3">
        <f>SUM(Liquor!$J337:$L337)</f>
        <v>0.5</v>
      </c>
      <c r="N337" s="9">
        <f t="shared" si="8"/>
        <v>83.174999999999997</v>
      </c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">
      <c r="A338" s="24" t="s">
        <v>58</v>
      </c>
      <c r="B338" s="4">
        <v>25.36</v>
      </c>
      <c r="C338" s="25" t="s">
        <v>348</v>
      </c>
      <c r="D338" s="25" t="s">
        <v>334</v>
      </c>
      <c r="E338" s="9">
        <v>43.65</v>
      </c>
      <c r="F338" s="9">
        <f t="shared" si="7"/>
        <v>1.7212145110410095</v>
      </c>
      <c r="G338" s="9">
        <f>Liquor!$F338*1.5</f>
        <v>2.5818217665615144</v>
      </c>
      <c r="H338" s="9">
        <v>15</v>
      </c>
      <c r="I338" s="6">
        <f>Liquor!$G338/Liquor!$H338</f>
        <v>0.17212145110410096</v>
      </c>
      <c r="J338" s="24"/>
      <c r="K338" s="3"/>
      <c r="L338" s="3"/>
      <c r="M338" s="3">
        <f>SUM(Liquor!$J338:$L338)</f>
        <v>0</v>
      </c>
      <c r="N338" s="9">
        <f t="shared" si="8"/>
        <v>0</v>
      </c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">
      <c r="A339" s="34" t="s">
        <v>44</v>
      </c>
      <c r="B339" s="35">
        <v>33.814</v>
      </c>
      <c r="C339" s="14" t="s">
        <v>348</v>
      </c>
      <c r="D339" s="14" t="s">
        <v>334</v>
      </c>
      <c r="E339" s="36">
        <v>51.78</v>
      </c>
      <c r="F339" s="36">
        <f t="shared" si="7"/>
        <v>1.5313183888330277</v>
      </c>
      <c r="G339" s="36">
        <f>Liquor!$F339*1.5</f>
        <v>2.2969775832495416</v>
      </c>
      <c r="H339" s="45">
        <v>15</v>
      </c>
      <c r="I339" s="16">
        <f>Liquor!$G339/Liquor!$H339</f>
        <v>0.15313183888330278</v>
      </c>
      <c r="J339" s="46">
        <v>0.35</v>
      </c>
      <c r="K339" s="18"/>
      <c r="L339" s="18"/>
      <c r="M339" s="18">
        <f>SUM(Liquor!$J339:$L339)</f>
        <v>0.35</v>
      </c>
      <c r="N339" s="36">
        <f t="shared" si="8"/>
        <v>18.122999999999998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">
      <c r="A340" s="34" t="s">
        <v>58</v>
      </c>
      <c r="B340" s="35">
        <v>25.36</v>
      </c>
      <c r="C340" s="14" t="s">
        <v>349</v>
      </c>
      <c r="D340" s="14" t="s">
        <v>334</v>
      </c>
      <c r="E340" s="36">
        <v>45.67</v>
      </c>
      <c r="F340" s="36">
        <f t="shared" si="7"/>
        <v>1.8008675078864353</v>
      </c>
      <c r="G340" s="36">
        <f>Liquor!$F340*1.5</f>
        <v>2.701301261829653</v>
      </c>
      <c r="H340" s="45">
        <v>16</v>
      </c>
      <c r="I340" s="16">
        <f>Liquor!$G340/Liquor!$H340</f>
        <v>0.16883132886435331</v>
      </c>
      <c r="J340" s="46">
        <v>0.95</v>
      </c>
      <c r="K340" s="18"/>
      <c r="L340" s="18"/>
      <c r="M340" s="18">
        <f>SUM(Liquor!$J340:$L340)</f>
        <v>0.95</v>
      </c>
      <c r="N340" s="36">
        <f t="shared" si="8"/>
        <v>43.386499999999998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">
      <c r="A341" s="34" t="s">
        <v>58</v>
      </c>
      <c r="B341" s="35">
        <v>25.36</v>
      </c>
      <c r="C341" s="14" t="s">
        <v>350</v>
      </c>
      <c r="D341" s="14" t="s">
        <v>334</v>
      </c>
      <c r="E341" s="36">
        <v>53.66</v>
      </c>
      <c r="F341" s="36">
        <f t="shared" si="7"/>
        <v>2.1159305993690851</v>
      </c>
      <c r="G341" s="36">
        <f>Liquor!$F341*1.5</f>
        <v>3.1738958990536279</v>
      </c>
      <c r="H341" s="45">
        <v>18</v>
      </c>
      <c r="I341" s="16">
        <f>Liquor!$G341/Liquor!$H341</f>
        <v>0.17632754994742378</v>
      </c>
      <c r="J341" s="46">
        <v>1</v>
      </c>
      <c r="K341" s="18"/>
      <c r="L341" s="18"/>
      <c r="M341" s="18">
        <f>SUM(Liquor!$J341:$L341)</f>
        <v>1</v>
      </c>
      <c r="N341" s="36">
        <f t="shared" si="8"/>
        <v>53.66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">
      <c r="A342" s="24" t="s">
        <v>58</v>
      </c>
      <c r="B342" s="4">
        <v>25.36</v>
      </c>
      <c r="C342" s="25" t="s">
        <v>351</v>
      </c>
      <c r="D342" s="25" t="s">
        <v>334</v>
      </c>
      <c r="E342" s="9">
        <v>42.53</v>
      </c>
      <c r="F342" s="9">
        <f t="shared" si="7"/>
        <v>1.67705047318612</v>
      </c>
      <c r="G342" s="9">
        <f>Liquor!$F342*1.5</f>
        <v>2.51557570977918</v>
      </c>
      <c r="H342" s="9">
        <v>16</v>
      </c>
      <c r="I342" s="6">
        <f>Liquor!$G342/Liquor!$H342</f>
        <v>0.15722348186119875</v>
      </c>
      <c r="J342" s="47">
        <v>0.4</v>
      </c>
      <c r="K342" s="3"/>
      <c r="L342" s="3"/>
      <c r="M342" s="3">
        <f>SUM(Liquor!$J342:$L342)</f>
        <v>0.4</v>
      </c>
      <c r="N342" s="9">
        <f t="shared" si="8"/>
        <v>17.012</v>
      </c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">
      <c r="A343" s="24" t="s">
        <v>58</v>
      </c>
      <c r="B343" s="4">
        <v>25.36</v>
      </c>
      <c r="C343" s="25" t="s">
        <v>352</v>
      </c>
      <c r="D343" s="25" t="s">
        <v>334</v>
      </c>
      <c r="E343" s="9">
        <v>50.56</v>
      </c>
      <c r="F343" s="9">
        <f t="shared" si="7"/>
        <v>1.9936908517350158</v>
      </c>
      <c r="G343" s="9">
        <f>Liquor!$F343*1.5</f>
        <v>2.9905362776025237</v>
      </c>
      <c r="H343" s="9">
        <v>18</v>
      </c>
      <c r="I343" s="6">
        <f>Liquor!$G343/Liquor!$H343</f>
        <v>0.16614090431125131</v>
      </c>
      <c r="J343" s="47">
        <v>0.2</v>
      </c>
      <c r="K343" s="3"/>
      <c r="L343" s="3"/>
      <c r="M343" s="3">
        <f>SUM(Liquor!$J343:$L343)</f>
        <v>0.2</v>
      </c>
      <c r="N343" s="9">
        <f t="shared" si="8"/>
        <v>10.112000000000002</v>
      </c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">
      <c r="A344" s="24" t="s">
        <v>58</v>
      </c>
      <c r="B344" s="4">
        <v>25.36</v>
      </c>
      <c r="C344" s="25" t="s">
        <v>353</v>
      </c>
      <c r="D344" s="25" t="s">
        <v>334</v>
      </c>
      <c r="E344" s="9">
        <v>43.33</v>
      </c>
      <c r="F344" s="9">
        <f t="shared" si="7"/>
        <v>1.7085962145110409</v>
      </c>
      <c r="G344" s="9">
        <f>Liquor!$F344*1.5</f>
        <v>2.5628943217665614</v>
      </c>
      <c r="H344" s="39">
        <v>15</v>
      </c>
      <c r="I344" s="6">
        <f>Liquor!$G344/Liquor!$H344</f>
        <v>0.17085962145110409</v>
      </c>
      <c r="J344" s="47">
        <v>0.25</v>
      </c>
      <c r="K344" s="3"/>
      <c r="L344" s="3"/>
      <c r="M344" s="3">
        <f>SUM(Liquor!$J344:$L344)</f>
        <v>0.25</v>
      </c>
      <c r="N344" s="9">
        <f t="shared" si="8"/>
        <v>10.8325</v>
      </c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">
      <c r="A345" s="24" t="s">
        <v>58</v>
      </c>
      <c r="B345" s="4">
        <v>25.36</v>
      </c>
      <c r="C345" s="25" t="s">
        <v>354</v>
      </c>
      <c r="D345" s="25" t="s">
        <v>334</v>
      </c>
      <c r="E345" s="9">
        <v>58.77</v>
      </c>
      <c r="F345" s="9">
        <f t="shared" si="7"/>
        <v>2.3174290220820191</v>
      </c>
      <c r="G345" s="9">
        <f>Liquor!$F345*1.5</f>
        <v>3.4761435331230288</v>
      </c>
      <c r="H345" s="39">
        <v>17</v>
      </c>
      <c r="I345" s="6">
        <f>Liquor!$G345/Liquor!$H345</f>
        <v>0.20447903136017817</v>
      </c>
      <c r="J345" s="47">
        <v>0.25</v>
      </c>
      <c r="K345" s="3"/>
      <c r="L345" s="3"/>
      <c r="M345" s="3">
        <f>SUM(Liquor!$J345:$L345)</f>
        <v>0.25</v>
      </c>
      <c r="N345" s="9">
        <f t="shared" si="8"/>
        <v>14.692500000000001</v>
      </c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">
      <c r="A346" s="24" t="s">
        <v>58</v>
      </c>
      <c r="B346" s="4">
        <v>25.36</v>
      </c>
      <c r="C346" s="25" t="s">
        <v>355</v>
      </c>
      <c r="D346" s="25" t="s">
        <v>334</v>
      </c>
      <c r="E346" s="9">
        <v>77.239999999999995</v>
      </c>
      <c r="F346" s="9">
        <f t="shared" si="7"/>
        <v>3.0457413249211354</v>
      </c>
      <c r="G346" s="9">
        <f>Liquor!$F346*1.5</f>
        <v>4.5686119873817033</v>
      </c>
      <c r="H346" s="39">
        <v>19</v>
      </c>
      <c r="I346" s="6">
        <f>Liquor!$G346/Liquor!$H346</f>
        <v>0.24045326249377386</v>
      </c>
      <c r="J346" s="47">
        <v>0.6</v>
      </c>
      <c r="K346" s="3"/>
      <c r="L346" s="3"/>
      <c r="M346" s="3">
        <f>SUM(Liquor!$J346:$L346)</f>
        <v>0.6</v>
      </c>
      <c r="N346" s="9">
        <f t="shared" si="8"/>
        <v>46.343999999999994</v>
      </c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">
      <c r="A347" s="41" t="s">
        <v>58</v>
      </c>
      <c r="B347" s="42">
        <v>25.36</v>
      </c>
      <c r="C347" s="14" t="s">
        <v>356</v>
      </c>
      <c r="D347" s="14" t="s">
        <v>334</v>
      </c>
      <c r="E347" s="36">
        <v>25.34</v>
      </c>
      <c r="F347" s="36">
        <f t="shared" si="7"/>
        <v>0.99921135646687698</v>
      </c>
      <c r="G347" s="36">
        <f>Liquor!$F347*1.5</f>
        <v>1.4988170347003154</v>
      </c>
      <c r="H347" s="36">
        <v>12</v>
      </c>
      <c r="I347" s="16">
        <f>Liquor!$G347/Liquor!$H347</f>
        <v>0.12490141955835961</v>
      </c>
      <c r="J347" s="10"/>
      <c r="K347" s="18"/>
      <c r="L347" s="18"/>
      <c r="M347" s="18">
        <f>SUM(Liquor!$J347:$L347)</f>
        <v>0</v>
      </c>
      <c r="N347" s="36">
        <f t="shared" si="8"/>
        <v>0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24" t="s">
        <v>44</v>
      </c>
      <c r="B348" s="4">
        <v>33.814</v>
      </c>
      <c r="C348" s="25" t="s">
        <v>356</v>
      </c>
      <c r="D348" s="25" t="s">
        <v>334</v>
      </c>
      <c r="E348" s="9">
        <v>29.16</v>
      </c>
      <c r="F348" s="9">
        <f t="shared" si="7"/>
        <v>0.86236470101141538</v>
      </c>
      <c r="G348" s="9">
        <f>Liquor!$F348*1.5</f>
        <v>1.293547051517123</v>
      </c>
      <c r="H348" s="9">
        <v>12</v>
      </c>
      <c r="I348" s="6">
        <f>Liquor!$G348/Liquor!$H348</f>
        <v>0.10779558762642692</v>
      </c>
      <c r="J348" s="24"/>
      <c r="K348" s="3"/>
      <c r="L348" s="3"/>
      <c r="M348" s="3">
        <f>SUM(Liquor!$J348:$L348)</f>
        <v>0</v>
      </c>
      <c r="N348" s="9">
        <f t="shared" si="8"/>
        <v>0</v>
      </c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">
      <c r="A349" s="41" t="s">
        <v>58</v>
      </c>
      <c r="B349" s="42">
        <v>25.36</v>
      </c>
      <c r="C349" s="14" t="s">
        <v>357</v>
      </c>
      <c r="D349" s="14" t="s">
        <v>334</v>
      </c>
      <c r="E349" s="36">
        <v>28.43</v>
      </c>
      <c r="F349" s="36">
        <f t="shared" si="7"/>
        <v>1.1210567823343849</v>
      </c>
      <c r="G349" s="36">
        <f>Liquor!$F349*1.5</f>
        <v>1.6815851735015772</v>
      </c>
      <c r="H349" s="36">
        <v>14</v>
      </c>
      <c r="I349" s="16">
        <f>Liquor!$G349/Liquor!$H349</f>
        <v>0.12011322667868408</v>
      </c>
      <c r="J349" s="10"/>
      <c r="K349" s="18"/>
      <c r="L349" s="18"/>
      <c r="M349" s="18">
        <f>SUM(Liquor!$J349:$L349)</f>
        <v>0</v>
      </c>
      <c r="N349" s="36">
        <f t="shared" si="8"/>
        <v>0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24" t="s">
        <v>44</v>
      </c>
      <c r="B350" s="4">
        <v>33.814</v>
      </c>
      <c r="C350" s="25" t="s">
        <v>357</v>
      </c>
      <c r="D350" s="25" t="s">
        <v>334</v>
      </c>
      <c r="E350" s="9">
        <v>30.87</v>
      </c>
      <c r="F350" s="9">
        <f t="shared" si="7"/>
        <v>0.91293547051517121</v>
      </c>
      <c r="G350" s="9">
        <f>Liquor!$F350*1.5</f>
        <v>1.3694032057727568</v>
      </c>
      <c r="H350" s="9">
        <v>14</v>
      </c>
      <c r="I350" s="6">
        <f>Liquor!$G350/Liquor!$H350</f>
        <v>9.781451469805405E-2</v>
      </c>
      <c r="J350" s="47">
        <v>0.25</v>
      </c>
      <c r="K350" s="3"/>
      <c r="L350" s="3"/>
      <c r="M350" s="3">
        <f>SUM(Liquor!$J350:$L350)</f>
        <v>0.25</v>
      </c>
      <c r="N350" s="9">
        <f t="shared" si="8"/>
        <v>7.7175000000000002</v>
      </c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">
      <c r="A351" s="24" t="s">
        <v>58</v>
      </c>
      <c r="B351" s="4">
        <v>25.36</v>
      </c>
      <c r="C351" s="25" t="s">
        <v>358</v>
      </c>
      <c r="D351" s="25" t="s">
        <v>334</v>
      </c>
      <c r="E351" s="9">
        <v>64.59</v>
      </c>
      <c r="F351" s="9">
        <f t="shared" si="7"/>
        <v>2.5469242902208205</v>
      </c>
      <c r="G351" s="9">
        <f>Liquor!$F351*1.5</f>
        <v>3.8203864353312307</v>
      </c>
      <c r="H351" s="39">
        <v>30</v>
      </c>
      <c r="I351" s="6">
        <f>Liquor!$G351/Liquor!$H351</f>
        <v>0.12734621451104103</v>
      </c>
      <c r="J351" s="47">
        <v>0.75</v>
      </c>
      <c r="K351" s="3"/>
      <c r="L351" s="3"/>
      <c r="M351" s="3">
        <f>SUM(Liquor!$J351:$L351)</f>
        <v>0.75</v>
      </c>
      <c r="N351" s="9">
        <f t="shared" si="8"/>
        <v>48.442500000000003</v>
      </c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">
      <c r="A352" s="24" t="s">
        <v>58</v>
      </c>
      <c r="B352" s="4">
        <v>25.36</v>
      </c>
      <c r="C352" s="25" t="s">
        <v>359</v>
      </c>
      <c r="D352" s="25" t="s">
        <v>334</v>
      </c>
      <c r="E352" s="9">
        <v>52.72</v>
      </c>
      <c r="F352" s="9">
        <f t="shared" si="7"/>
        <v>2.0788643533123028</v>
      </c>
      <c r="G352" s="9">
        <f>Liquor!$F352*1.5</f>
        <v>3.118296529968454</v>
      </c>
      <c r="H352" s="39">
        <v>35</v>
      </c>
      <c r="I352" s="6">
        <f>Liquor!$G352/Liquor!$H352</f>
        <v>8.9094186570527256E-2</v>
      </c>
      <c r="J352" s="47">
        <v>0.5</v>
      </c>
      <c r="K352" s="3"/>
      <c r="L352" s="3"/>
      <c r="M352" s="3">
        <f>SUM(Liquor!$J352:$L352)</f>
        <v>0.5</v>
      </c>
      <c r="N352" s="9">
        <f t="shared" si="8"/>
        <v>26.36</v>
      </c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">
      <c r="A353" s="24" t="s">
        <v>58</v>
      </c>
      <c r="B353" s="4">
        <v>25.36</v>
      </c>
      <c r="C353" s="25" t="s">
        <v>360</v>
      </c>
      <c r="D353" s="25" t="s">
        <v>334</v>
      </c>
      <c r="E353" s="9">
        <v>88.29</v>
      </c>
      <c r="F353" s="9">
        <f t="shared" si="7"/>
        <v>3.4814668769716093</v>
      </c>
      <c r="G353" s="9">
        <f>Liquor!$F353*1.5</f>
        <v>5.2222003154574139</v>
      </c>
      <c r="H353" s="39">
        <v>40</v>
      </c>
      <c r="I353" s="6">
        <f>Liquor!$G353/Liquor!$H353</f>
        <v>0.13055500788643534</v>
      </c>
      <c r="J353" s="47">
        <v>0.75</v>
      </c>
      <c r="K353" s="3"/>
      <c r="L353" s="3"/>
      <c r="M353" s="3">
        <f>SUM(Liquor!$J353:$L353)</f>
        <v>0.75</v>
      </c>
      <c r="N353" s="9">
        <f t="shared" si="8"/>
        <v>66.217500000000001</v>
      </c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">
      <c r="A354" s="24" t="s">
        <v>58</v>
      </c>
      <c r="B354" s="4">
        <v>25.36</v>
      </c>
      <c r="C354" s="25" t="s">
        <v>361</v>
      </c>
      <c r="D354" s="25" t="s">
        <v>334</v>
      </c>
      <c r="E354" s="9">
        <v>37.25</v>
      </c>
      <c r="F354" s="9">
        <f t="shared" si="7"/>
        <v>1.4688485804416405</v>
      </c>
      <c r="G354" s="9">
        <f>Liquor!$F354*1.5</f>
        <v>2.2032728706624605</v>
      </c>
      <c r="H354" s="39">
        <v>14</v>
      </c>
      <c r="I354" s="6">
        <f>Liquor!$G354/Liquor!$H354</f>
        <v>0.15737663361874718</v>
      </c>
      <c r="J354" s="47">
        <v>0.5</v>
      </c>
      <c r="K354" s="3"/>
      <c r="L354" s="3"/>
      <c r="M354" s="3">
        <f>SUM(Liquor!$J354:$L354)</f>
        <v>0.5</v>
      </c>
      <c r="N354" s="9">
        <f t="shared" si="8"/>
        <v>18.625</v>
      </c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">
      <c r="A355" s="24" t="s">
        <v>58</v>
      </c>
      <c r="B355" s="4">
        <v>25.36</v>
      </c>
      <c r="C355" s="25" t="s">
        <v>362</v>
      </c>
      <c r="D355" s="25" t="s">
        <v>334</v>
      </c>
      <c r="E355" s="9">
        <v>49.05</v>
      </c>
      <c r="F355" s="9">
        <f t="shared" si="7"/>
        <v>1.934148264984227</v>
      </c>
      <c r="G355" s="9">
        <f>Liquor!$F355*1.5</f>
        <v>2.9012223974763405</v>
      </c>
      <c r="H355" s="39">
        <v>17</v>
      </c>
      <c r="I355" s="6">
        <f>Liquor!$G355/Liquor!$H355</f>
        <v>0.17066014102802002</v>
      </c>
      <c r="J355" s="47">
        <v>0.65</v>
      </c>
      <c r="K355" s="3"/>
      <c r="L355" s="3"/>
      <c r="M355" s="3">
        <f>SUM(Liquor!$J355:$L355)</f>
        <v>0.65</v>
      </c>
      <c r="N355" s="9">
        <f t="shared" si="8"/>
        <v>31.8825</v>
      </c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">
      <c r="A356" s="24" t="s">
        <v>58</v>
      </c>
      <c r="B356" s="4">
        <v>25.36</v>
      </c>
      <c r="C356" s="25" t="s">
        <v>363</v>
      </c>
      <c r="D356" s="25" t="s">
        <v>334</v>
      </c>
      <c r="E356" s="9">
        <v>66</v>
      </c>
      <c r="F356" s="9">
        <f t="shared" si="7"/>
        <v>2.6025236593059939</v>
      </c>
      <c r="G356" s="9">
        <f>Liquor!$F356*1.5</f>
        <v>3.9037854889589907</v>
      </c>
      <c r="H356" s="39">
        <v>21</v>
      </c>
      <c r="I356" s="6">
        <f>Liquor!$G356/Liquor!$H356</f>
        <v>0.18589454709328526</v>
      </c>
      <c r="J356" s="47">
        <v>0.65</v>
      </c>
      <c r="K356" s="3"/>
      <c r="L356" s="3"/>
      <c r="M356" s="3">
        <f>SUM(Liquor!$J356:$L356)</f>
        <v>0.65</v>
      </c>
      <c r="N356" s="9">
        <f t="shared" si="8"/>
        <v>42.9</v>
      </c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">
      <c r="A357" s="24" t="s">
        <v>58</v>
      </c>
      <c r="B357" s="4">
        <v>25.36</v>
      </c>
      <c r="C357" s="25" t="s">
        <v>364</v>
      </c>
      <c r="D357" s="25" t="s">
        <v>334</v>
      </c>
      <c r="E357" s="9">
        <v>122.94</v>
      </c>
      <c r="F357" s="9">
        <f t="shared" si="7"/>
        <v>4.8477917981072558</v>
      </c>
      <c r="G357" s="9">
        <f>Liquor!$F357*1.5</f>
        <v>7.2716876971608837</v>
      </c>
      <c r="H357" s="9">
        <v>36</v>
      </c>
      <c r="I357" s="6">
        <f>Liquor!$G357/Liquor!$H357</f>
        <v>0.20199132492113567</v>
      </c>
      <c r="J357" s="24"/>
      <c r="K357" s="3"/>
      <c r="L357" s="3"/>
      <c r="M357" s="3">
        <f>SUM(Liquor!$J357:$L357)</f>
        <v>0</v>
      </c>
      <c r="N357" s="9">
        <f t="shared" si="8"/>
        <v>0</v>
      </c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">
      <c r="A358" s="24" t="s">
        <v>58</v>
      </c>
      <c r="B358" s="4">
        <v>25.36</v>
      </c>
      <c r="C358" s="25" t="s">
        <v>365</v>
      </c>
      <c r="D358" s="25" t="s">
        <v>334</v>
      </c>
      <c r="E358" s="9">
        <v>42.48</v>
      </c>
      <c r="F358" s="9">
        <f t="shared" si="7"/>
        <v>1.6750788643533123</v>
      </c>
      <c r="G358" s="9">
        <f>Liquor!$F358*1.5</f>
        <v>2.5126182965299684</v>
      </c>
      <c r="H358" s="9">
        <v>14</v>
      </c>
      <c r="I358" s="6">
        <f>Liquor!$G358/Liquor!$H358</f>
        <v>0.17947273546642631</v>
      </c>
      <c r="J358" s="47">
        <v>0.2</v>
      </c>
      <c r="K358" s="3"/>
      <c r="L358" s="3"/>
      <c r="M358" s="3">
        <f>SUM(Liquor!$J358:$L358)</f>
        <v>0.2</v>
      </c>
      <c r="N358" s="9">
        <f t="shared" si="8"/>
        <v>8.4960000000000004</v>
      </c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">
      <c r="A359" s="24" t="s">
        <v>58</v>
      </c>
      <c r="B359" s="4">
        <v>25.36</v>
      </c>
      <c r="C359" s="25" t="s">
        <v>366</v>
      </c>
      <c r="D359" s="25" t="s">
        <v>334</v>
      </c>
      <c r="E359" s="9">
        <v>45.96</v>
      </c>
      <c r="F359" s="9">
        <f t="shared" si="7"/>
        <v>1.8123028391167193</v>
      </c>
      <c r="G359" s="9">
        <f>Liquor!$F359*1.5</f>
        <v>2.7184542586750791</v>
      </c>
      <c r="H359" s="9">
        <v>16</v>
      </c>
      <c r="I359" s="6">
        <f>Liquor!$G359/Liquor!$H359</f>
        <v>0.16990339116719244</v>
      </c>
      <c r="J359" s="47">
        <v>1.1000000000000001</v>
      </c>
      <c r="K359" s="3"/>
      <c r="L359" s="3"/>
      <c r="M359" s="3">
        <f>SUM(Liquor!$J359:$L359)</f>
        <v>1.1000000000000001</v>
      </c>
      <c r="N359" s="9">
        <f t="shared" si="8"/>
        <v>50.556000000000004</v>
      </c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">
      <c r="A360" s="24" t="s">
        <v>58</v>
      </c>
      <c r="B360" s="4">
        <v>25.36</v>
      </c>
      <c r="C360" s="25" t="s">
        <v>367</v>
      </c>
      <c r="D360" s="25" t="s">
        <v>334</v>
      </c>
      <c r="E360" s="9">
        <v>65.33</v>
      </c>
      <c r="F360" s="9">
        <f t="shared" si="7"/>
        <v>2.5761041009463721</v>
      </c>
      <c r="G360" s="9">
        <f>Liquor!$F360*1.5</f>
        <v>3.8641561514195581</v>
      </c>
      <c r="H360" s="9">
        <v>18</v>
      </c>
      <c r="I360" s="6">
        <f>Liquor!$G360/Liquor!$H360</f>
        <v>0.21467534174553102</v>
      </c>
      <c r="J360" s="47">
        <v>0.45</v>
      </c>
      <c r="K360" s="3"/>
      <c r="L360" s="3"/>
      <c r="M360" s="3">
        <f>SUM(Liquor!$J360:$L360)</f>
        <v>0.45</v>
      </c>
      <c r="N360" s="9">
        <f t="shared" si="8"/>
        <v>29.398499999999999</v>
      </c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">
      <c r="A361" s="47" t="s">
        <v>44</v>
      </c>
      <c r="B361" s="79">
        <v>33.814</v>
      </c>
      <c r="C361" s="25" t="s">
        <v>368</v>
      </c>
      <c r="D361" s="25" t="s">
        <v>334</v>
      </c>
      <c r="E361" s="9">
        <v>47.55</v>
      </c>
      <c r="F361" s="9">
        <f t="shared" si="7"/>
        <v>1.4062222747974211</v>
      </c>
      <c r="G361" s="9">
        <f>Liquor!$F361*1.5</f>
        <v>2.1093334121961318</v>
      </c>
      <c r="H361" s="9">
        <v>14</v>
      </c>
      <c r="I361" s="6">
        <f>Liquor!$G361/Liquor!$H361</f>
        <v>0.15066667229972369</v>
      </c>
      <c r="J361" s="47">
        <v>0.6</v>
      </c>
      <c r="K361" s="3"/>
      <c r="L361" s="3"/>
      <c r="M361" s="3">
        <f>SUM(Liquor!$J361:$L361)</f>
        <v>0.6</v>
      </c>
      <c r="N361" s="9">
        <f t="shared" si="8"/>
        <v>28.529999999999998</v>
      </c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">
      <c r="A362" s="41" t="s">
        <v>58</v>
      </c>
      <c r="B362" s="42">
        <v>25.36</v>
      </c>
      <c r="C362" s="14" t="s">
        <v>369</v>
      </c>
      <c r="D362" s="14" t="s">
        <v>334</v>
      </c>
      <c r="E362" s="36">
        <v>59.29</v>
      </c>
      <c r="F362" s="36">
        <f t="shared" si="7"/>
        <v>2.3379337539432177</v>
      </c>
      <c r="G362" s="36">
        <f>Liquor!$F362*1.5</f>
        <v>3.5069006309148265</v>
      </c>
      <c r="H362" s="45">
        <v>16</v>
      </c>
      <c r="I362" s="16">
        <f>Liquor!$G362/Liquor!$H362</f>
        <v>0.21918128943217666</v>
      </c>
      <c r="J362" s="46">
        <v>0.4</v>
      </c>
      <c r="K362" s="18"/>
      <c r="L362" s="18"/>
      <c r="M362" s="18">
        <f>SUM(Liquor!$J362:$L362)</f>
        <v>0.4</v>
      </c>
      <c r="N362" s="36">
        <f t="shared" si="8"/>
        <v>23.716000000000001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">
      <c r="A363" s="24" t="s">
        <v>58</v>
      </c>
      <c r="B363" s="4">
        <v>25.36</v>
      </c>
      <c r="C363" s="25" t="s">
        <v>370</v>
      </c>
      <c r="D363" s="25" t="s">
        <v>334</v>
      </c>
      <c r="E363" s="50">
        <v>31.03</v>
      </c>
      <c r="F363" s="9">
        <f t="shared" si="7"/>
        <v>1.2235804416403786</v>
      </c>
      <c r="G363" s="9">
        <f>Liquor!$F363*1.5</f>
        <v>1.8353706624605679</v>
      </c>
      <c r="H363" s="9">
        <v>12</v>
      </c>
      <c r="I363" s="6">
        <f>Liquor!$G363/Liquor!$H363</f>
        <v>0.15294755520504733</v>
      </c>
      <c r="J363" s="24"/>
      <c r="K363" s="3"/>
      <c r="L363" s="3"/>
      <c r="M363" s="3">
        <f>SUM(Liquor!$J363:$L363)</f>
        <v>0</v>
      </c>
      <c r="N363" s="9">
        <f t="shared" si="8"/>
        <v>0</v>
      </c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">
      <c r="A364" s="24" t="s">
        <v>44</v>
      </c>
      <c r="B364" s="4">
        <v>33.814</v>
      </c>
      <c r="C364" s="25" t="s">
        <v>370</v>
      </c>
      <c r="D364" s="25" t="s">
        <v>334</v>
      </c>
      <c r="E364" s="50">
        <v>29.76</v>
      </c>
      <c r="F364" s="9">
        <f t="shared" si="7"/>
        <v>0.88010883066185608</v>
      </c>
      <c r="G364" s="9">
        <f>Liquor!$F364*1.5</f>
        <v>1.3201632459927841</v>
      </c>
      <c r="H364" s="9">
        <v>14</v>
      </c>
      <c r="I364" s="6">
        <f>Liquor!$G364/Liquor!$H364</f>
        <v>9.4297374713770296E-2</v>
      </c>
      <c r="J364" s="47">
        <v>0.5</v>
      </c>
      <c r="K364" s="3"/>
      <c r="L364" s="3"/>
      <c r="M364" s="30">
        <f>SUM(Liquor!$J364:$L364)+$J450</f>
        <v>0.5</v>
      </c>
      <c r="N364" s="9">
        <f t="shared" si="8"/>
        <v>14.88</v>
      </c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">
      <c r="A365" s="24" t="s">
        <v>58</v>
      </c>
      <c r="B365" s="4">
        <v>25.36</v>
      </c>
      <c r="C365" s="25" t="s">
        <v>371</v>
      </c>
      <c r="D365" s="25" t="s">
        <v>334</v>
      </c>
      <c r="E365" s="9">
        <v>29.87</v>
      </c>
      <c r="F365" s="9">
        <f t="shared" si="7"/>
        <v>1.177839116719243</v>
      </c>
      <c r="G365" s="9">
        <f>Liquor!$F365*1.5</f>
        <v>1.7667586750788646</v>
      </c>
      <c r="H365" s="9">
        <v>14</v>
      </c>
      <c r="I365" s="6">
        <f>Liquor!$G365/Liquor!$H365</f>
        <v>0.12619704821991889</v>
      </c>
      <c r="J365" s="24"/>
      <c r="K365" s="3"/>
      <c r="L365" s="3"/>
      <c r="M365" s="3">
        <f>SUM(Liquor!$J365:$L365)</f>
        <v>0</v>
      </c>
      <c r="N365" s="9">
        <f t="shared" si="8"/>
        <v>0</v>
      </c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">
      <c r="A366" s="24" t="s">
        <v>44</v>
      </c>
      <c r="B366" s="4">
        <v>33.814</v>
      </c>
      <c r="C366" s="25" t="s">
        <v>371</v>
      </c>
      <c r="D366" s="25" t="s">
        <v>334</v>
      </c>
      <c r="E366" s="9">
        <v>34.119999999999997</v>
      </c>
      <c r="F366" s="9">
        <f t="shared" si="7"/>
        <v>1.0090495061217246</v>
      </c>
      <c r="G366" s="9">
        <f>Liquor!$F366*1.5</f>
        <v>1.5135742591825869</v>
      </c>
      <c r="H366" s="9">
        <v>14</v>
      </c>
      <c r="I366" s="6">
        <f>Liquor!$G366/Liquor!$H366</f>
        <v>0.1081124470844705</v>
      </c>
      <c r="J366" s="47">
        <v>0.8</v>
      </c>
      <c r="K366" s="3"/>
      <c r="L366" s="3"/>
      <c r="M366" s="3">
        <f>SUM(Liquor!$J366:$L366)</f>
        <v>0.8</v>
      </c>
      <c r="N366" s="9">
        <f t="shared" si="8"/>
        <v>27.295999999999999</v>
      </c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">
      <c r="A367" s="24" t="s">
        <v>58</v>
      </c>
      <c r="B367" s="4">
        <v>25.36</v>
      </c>
      <c r="C367" s="25" t="s">
        <v>372</v>
      </c>
      <c r="D367" s="25" t="s">
        <v>334</v>
      </c>
      <c r="E367" s="9">
        <v>35.04</v>
      </c>
      <c r="F367" s="9">
        <f t="shared" si="7"/>
        <v>1.3817034700315458</v>
      </c>
      <c r="G367" s="9">
        <f>Liquor!$F367*1.5</f>
        <v>2.0725552050473186</v>
      </c>
      <c r="H367" s="9">
        <v>16</v>
      </c>
      <c r="I367" s="6">
        <f>Liquor!$G367/Liquor!$H367</f>
        <v>0.12953470031545741</v>
      </c>
      <c r="J367" s="47">
        <v>0.3</v>
      </c>
      <c r="K367" s="3"/>
      <c r="L367" s="3"/>
      <c r="M367" s="3">
        <f>SUM(Liquor!$J367:$L367)</f>
        <v>0.3</v>
      </c>
      <c r="N367" s="9">
        <f t="shared" si="8"/>
        <v>10.511999999999999</v>
      </c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">
      <c r="A368" s="41" t="s">
        <v>58</v>
      </c>
      <c r="B368" s="42">
        <v>25.36</v>
      </c>
      <c r="C368" s="14" t="s">
        <v>373</v>
      </c>
      <c r="D368" s="14" t="s">
        <v>334</v>
      </c>
      <c r="E368" s="36">
        <v>72.41</v>
      </c>
      <c r="F368" s="36">
        <f t="shared" si="7"/>
        <v>2.8552839116719242</v>
      </c>
      <c r="G368" s="36">
        <f>Liquor!$F368*1.5</f>
        <v>4.2829258675078865</v>
      </c>
      <c r="H368" s="45">
        <v>20</v>
      </c>
      <c r="I368" s="16">
        <f>Liquor!$G368/Liquor!$H368</f>
        <v>0.21414629337539431</v>
      </c>
      <c r="J368" s="63">
        <v>0.75</v>
      </c>
      <c r="K368" s="18"/>
      <c r="L368" s="18"/>
      <c r="M368" s="18">
        <f>SUM(Liquor!$J368:$L368)</f>
        <v>0.75</v>
      </c>
      <c r="N368" s="36">
        <f t="shared" si="8"/>
        <v>54.307499999999997</v>
      </c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">
      <c r="A369" s="41" t="s">
        <v>58</v>
      </c>
      <c r="B369" s="42">
        <v>25.36</v>
      </c>
      <c r="C369" s="14" t="s">
        <v>374</v>
      </c>
      <c r="D369" s="14" t="s">
        <v>334</v>
      </c>
      <c r="E369" s="36">
        <v>139.66</v>
      </c>
      <c r="F369" s="36">
        <f t="shared" si="7"/>
        <v>5.507097791798107</v>
      </c>
      <c r="G369" s="36">
        <f>Liquor!$F369*1.5</f>
        <v>8.2606466876971609</v>
      </c>
      <c r="H369" s="45">
        <v>38</v>
      </c>
      <c r="I369" s="16">
        <f>Liquor!$G369/Liquor!$H369</f>
        <v>0.21738543914992528</v>
      </c>
      <c r="J369" s="63">
        <v>0.8</v>
      </c>
      <c r="K369" s="18"/>
      <c r="L369" s="18"/>
      <c r="M369" s="18">
        <f>SUM(Liquor!$J369:$L369)</f>
        <v>0.8</v>
      </c>
      <c r="N369" s="36">
        <f t="shared" si="8"/>
        <v>111.72800000000001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">
      <c r="A370" s="24" t="s">
        <v>58</v>
      </c>
      <c r="B370" s="4">
        <v>25.36</v>
      </c>
      <c r="C370" s="25" t="s">
        <v>375</v>
      </c>
      <c r="D370" s="25" t="s">
        <v>334</v>
      </c>
      <c r="E370" s="9">
        <v>90.23</v>
      </c>
      <c r="F370" s="36">
        <f t="shared" si="7"/>
        <v>3.5579652996845428</v>
      </c>
      <c r="G370" s="36">
        <f>Liquor!$F370*1.5</f>
        <v>5.336947949526814</v>
      </c>
      <c r="H370" s="39">
        <v>25</v>
      </c>
      <c r="I370" s="16">
        <f>Liquor!$G370/Liquor!$H370</f>
        <v>0.21347791798107255</v>
      </c>
      <c r="J370" s="47">
        <v>0.8</v>
      </c>
      <c r="K370" s="3"/>
      <c r="L370" s="3"/>
      <c r="M370" s="18">
        <f>SUM(Liquor!$J370:$L370)</f>
        <v>0.8</v>
      </c>
      <c r="N370" s="36">
        <f t="shared" si="8"/>
        <v>72.184000000000012</v>
      </c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">
      <c r="A371" s="24" t="s">
        <v>58</v>
      </c>
      <c r="B371" s="4">
        <v>25.36</v>
      </c>
      <c r="C371" s="25" t="s">
        <v>376</v>
      </c>
      <c r="D371" s="25" t="s">
        <v>334</v>
      </c>
      <c r="E371" s="9">
        <v>254.02</v>
      </c>
      <c r="F371" s="36">
        <f t="shared" si="7"/>
        <v>10.016561514195585</v>
      </c>
      <c r="G371" s="36">
        <f>Liquor!$F371*1.5</f>
        <v>15.024842271293377</v>
      </c>
      <c r="H371" s="39">
        <v>70</v>
      </c>
      <c r="I371" s="16">
        <f>Liquor!$G371/Liquor!$H371</f>
        <v>0.21464060387561967</v>
      </c>
      <c r="J371" s="47">
        <v>0.8</v>
      </c>
      <c r="K371" s="3"/>
      <c r="L371" s="3"/>
      <c r="M371" s="18">
        <f>SUM(Liquor!$J371:$L371)</f>
        <v>0.8</v>
      </c>
      <c r="N371" s="36">
        <f t="shared" si="8"/>
        <v>203.21600000000001</v>
      </c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">
      <c r="A372" s="24" t="s">
        <v>58</v>
      </c>
      <c r="B372" s="4">
        <v>25.36</v>
      </c>
      <c r="C372" s="25" t="s">
        <v>377</v>
      </c>
      <c r="D372" s="25" t="s">
        <v>334</v>
      </c>
      <c r="E372" s="9">
        <v>31.87</v>
      </c>
      <c r="F372" s="9">
        <f t="shared" si="7"/>
        <v>1.2567034700315458</v>
      </c>
      <c r="G372" s="9">
        <f>Liquor!$F372*1.5</f>
        <v>1.8850552050473186</v>
      </c>
      <c r="H372" s="9">
        <v>13</v>
      </c>
      <c r="I372" s="6">
        <f>Liquor!$G372/Liquor!$H372</f>
        <v>0.14500424654210142</v>
      </c>
      <c r="J372" s="47">
        <v>0.25</v>
      </c>
      <c r="K372" s="3"/>
      <c r="L372" s="3"/>
      <c r="M372" s="3">
        <f>SUM(Liquor!$J372:$L372)</f>
        <v>0.25</v>
      </c>
      <c r="N372" s="9">
        <f t="shared" si="8"/>
        <v>7.9675000000000002</v>
      </c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">
      <c r="A373" s="41" t="s">
        <v>58</v>
      </c>
      <c r="B373" s="42">
        <v>25.36</v>
      </c>
      <c r="C373" s="14" t="s">
        <v>378</v>
      </c>
      <c r="D373" s="14" t="s">
        <v>334</v>
      </c>
      <c r="E373" s="40">
        <v>37.82</v>
      </c>
      <c r="F373" s="36">
        <f t="shared" si="7"/>
        <v>1.4913249211356467</v>
      </c>
      <c r="G373" s="36">
        <f>Liquor!$F373*1.5</f>
        <v>2.2369873817034702</v>
      </c>
      <c r="H373" s="36">
        <v>15</v>
      </c>
      <c r="I373" s="16">
        <f>Liquor!$G373/Liquor!$H373</f>
        <v>0.14913249211356469</v>
      </c>
      <c r="J373" s="63">
        <v>0.8</v>
      </c>
      <c r="K373" s="18"/>
      <c r="L373" s="18"/>
      <c r="M373" s="18">
        <f>SUM(Liquor!$J373:$L373)</f>
        <v>0.8</v>
      </c>
      <c r="N373" s="36">
        <f t="shared" si="8"/>
        <v>30.256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">
      <c r="A374" s="24" t="s">
        <v>58</v>
      </c>
      <c r="B374" s="4">
        <v>25.36</v>
      </c>
      <c r="C374" s="25" t="s">
        <v>379</v>
      </c>
      <c r="D374" s="25" t="s">
        <v>334</v>
      </c>
      <c r="E374" s="9">
        <v>43.84</v>
      </c>
      <c r="F374" s="36">
        <f t="shared" si="7"/>
        <v>1.7287066246056784</v>
      </c>
      <c r="G374" s="36">
        <f>Liquor!$F374*1.5</f>
        <v>2.5930599369085177</v>
      </c>
      <c r="H374" s="39">
        <v>20</v>
      </c>
      <c r="I374" s="16">
        <f>Liquor!$G374/Liquor!$H374</f>
        <v>0.12965299684542589</v>
      </c>
      <c r="J374" s="24"/>
      <c r="K374" s="3"/>
      <c r="L374" s="3"/>
      <c r="M374" s="18">
        <f>SUM(Liquor!$J374:$L374)</f>
        <v>0</v>
      </c>
      <c r="N374" s="36">
        <f t="shared" si="8"/>
        <v>0</v>
      </c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">
      <c r="A375" s="47" t="s">
        <v>44</v>
      </c>
      <c r="B375" s="79">
        <v>33.814</v>
      </c>
      <c r="C375" s="80" t="s">
        <v>379</v>
      </c>
      <c r="D375" s="80" t="s">
        <v>334</v>
      </c>
      <c r="E375" s="81">
        <v>56.7</v>
      </c>
      <c r="F375" s="36"/>
      <c r="G375" s="36"/>
      <c r="H375" s="39"/>
      <c r="I375" s="16"/>
      <c r="J375" s="47">
        <v>0.2</v>
      </c>
      <c r="K375" s="3"/>
      <c r="L375" s="3"/>
      <c r="M375" s="18"/>
      <c r="N375" s="36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">
      <c r="A376" s="24" t="s">
        <v>58</v>
      </c>
      <c r="B376" s="4">
        <v>25.36</v>
      </c>
      <c r="C376" s="25" t="s">
        <v>380</v>
      </c>
      <c r="D376" s="25" t="s">
        <v>381</v>
      </c>
      <c r="E376" s="9">
        <v>13.8</v>
      </c>
      <c r="F376" s="9">
        <f t="shared" ref="F376:F399" si="9">$E376/$B376</f>
        <v>0.54416403785488965</v>
      </c>
      <c r="G376" s="9">
        <f>Liquor!$F376*1.5</f>
        <v>0.81624605678233442</v>
      </c>
      <c r="H376" s="39">
        <v>9</v>
      </c>
      <c r="I376" s="6">
        <f>Liquor!$G376/Liquor!$H376</f>
        <v>9.069400630914827E-2</v>
      </c>
      <c r="J376" s="47">
        <v>0.6</v>
      </c>
      <c r="K376" s="3"/>
      <c r="L376" s="3"/>
      <c r="M376" s="3">
        <f>SUM(Liquor!$J376:$L376)</f>
        <v>0.6</v>
      </c>
      <c r="N376" s="9">
        <f t="shared" ref="N376:N399" si="10">$M376*$E376</f>
        <v>8.2799999999999994</v>
      </c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">
      <c r="A377" s="24" t="s">
        <v>58</v>
      </c>
      <c r="B377" s="4">
        <v>25.36</v>
      </c>
      <c r="C377" s="25" t="s">
        <v>382</v>
      </c>
      <c r="D377" s="25" t="s">
        <v>381</v>
      </c>
      <c r="E377" s="50">
        <v>19.55</v>
      </c>
      <c r="F377" s="9">
        <f t="shared" si="9"/>
        <v>0.77089905362776034</v>
      </c>
      <c r="G377" s="9">
        <f>Liquor!$F377*1.5</f>
        <v>1.1563485804416405</v>
      </c>
      <c r="H377" s="39">
        <v>8</v>
      </c>
      <c r="I377" s="6">
        <f>Liquor!$G377/Liquor!$H377</f>
        <v>0.14454357255520506</v>
      </c>
      <c r="J377" s="47">
        <v>0.9</v>
      </c>
      <c r="K377" s="3"/>
      <c r="L377" s="3"/>
      <c r="M377" s="30">
        <f>SUM(Liquor!$J377:$L377)+$I441</f>
        <v>0.9</v>
      </c>
      <c r="N377" s="9">
        <f t="shared" si="10"/>
        <v>17.595000000000002</v>
      </c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">
      <c r="A378" s="24" t="s">
        <v>58</v>
      </c>
      <c r="B378" s="4">
        <v>25.36</v>
      </c>
      <c r="C378" s="25" t="s">
        <v>383</v>
      </c>
      <c r="D378" s="25" t="s">
        <v>384</v>
      </c>
      <c r="E378" s="9">
        <v>33.590000000000003</v>
      </c>
      <c r="F378" s="9">
        <f t="shared" si="9"/>
        <v>1.3245268138801263</v>
      </c>
      <c r="G378" s="9">
        <f>Liquor!$F378*1.5</f>
        <v>1.9867902208201893</v>
      </c>
      <c r="H378" s="9">
        <v>14</v>
      </c>
      <c r="I378" s="6">
        <f>Liquor!$G378/Liquor!$H378</f>
        <v>0.14191358720144209</v>
      </c>
      <c r="J378" s="24"/>
      <c r="K378" s="3"/>
      <c r="L378" s="3"/>
      <c r="M378" s="3">
        <f>SUM(Liquor!$J378:$L378)</f>
        <v>0</v>
      </c>
      <c r="N378" s="9">
        <f t="shared" si="10"/>
        <v>0</v>
      </c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">
      <c r="A379" s="34" t="s">
        <v>44</v>
      </c>
      <c r="B379" s="35">
        <v>33.814</v>
      </c>
      <c r="C379" s="14" t="s">
        <v>383</v>
      </c>
      <c r="D379" s="14" t="s">
        <v>384</v>
      </c>
      <c r="E379" s="36">
        <v>34.64</v>
      </c>
      <c r="F379" s="36">
        <f t="shared" si="9"/>
        <v>1.0244277518187732</v>
      </c>
      <c r="G379" s="36">
        <f>Liquor!$F379*1.5</f>
        <v>1.5366416277281598</v>
      </c>
      <c r="H379" s="36">
        <v>14</v>
      </c>
      <c r="I379" s="16">
        <f>Liquor!$G379/Liquor!$H379</f>
        <v>0.10976011626629713</v>
      </c>
      <c r="J379" s="63">
        <v>0.5</v>
      </c>
      <c r="K379" s="18"/>
      <c r="L379" s="18"/>
      <c r="M379" s="18">
        <f>SUM(Liquor!$J379:$L379)</f>
        <v>0.5</v>
      </c>
      <c r="N379" s="36">
        <f t="shared" si="10"/>
        <v>17.32</v>
      </c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">
      <c r="A380" s="24" t="s">
        <v>44</v>
      </c>
      <c r="B380" s="4">
        <v>33.814</v>
      </c>
      <c r="C380" s="25" t="s">
        <v>385</v>
      </c>
      <c r="D380" s="25" t="s">
        <v>384</v>
      </c>
      <c r="E380" s="9">
        <v>23.97</v>
      </c>
      <c r="F380" s="9">
        <f t="shared" si="9"/>
        <v>0.70887797953510379</v>
      </c>
      <c r="G380" s="9">
        <f>Liquor!$F380*1.5</f>
        <v>1.0633169693026556</v>
      </c>
      <c r="H380" s="9">
        <v>12</v>
      </c>
      <c r="I380" s="6">
        <f>Liquor!$G380/Liquor!$H380</f>
        <v>8.8609747441887973E-2</v>
      </c>
      <c r="J380" s="47">
        <v>1.85</v>
      </c>
      <c r="K380" s="3"/>
      <c r="L380" s="3"/>
      <c r="M380" s="3">
        <f>SUM(Liquor!$J380:$L380)</f>
        <v>1.85</v>
      </c>
      <c r="N380" s="9">
        <f t="shared" si="10"/>
        <v>44.344499999999996</v>
      </c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">
      <c r="A381" s="41" t="s">
        <v>58</v>
      </c>
      <c r="B381" s="42">
        <v>25.36</v>
      </c>
      <c r="C381" s="14" t="s">
        <v>386</v>
      </c>
      <c r="D381" s="14" t="s">
        <v>384</v>
      </c>
      <c r="E381" s="36">
        <v>14.28</v>
      </c>
      <c r="F381" s="36">
        <f t="shared" si="9"/>
        <v>0.56309148264984221</v>
      </c>
      <c r="G381" s="36">
        <f>Liquor!$F381*1.5</f>
        <v>0.84463722397476326</v>
      </c>
      <c r="H381" s="36">
        <v>12</v>
      </c>
      <c r="I381" s="16">
        <f>Liquor!$G381/Liquor!$H381</f>
        <v>7.0386435331230277E-2</v>
      </c>
      <c r="J381" s="12"/>
      <c r="K381" s="18"/>
      <c r="L381" s="18"/>
      <c r="M381" s="18">
        <f>SUM(Liquor!$J381:$L381)</f>
        <v>0</v>
      </c>
      <c r="N381" s="36">
        <f t="shared" si="10"/>
        <v>0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">
      <c r="A382" s="24" t="s">
        <v>44</v>
      </c>
      <c r="B382" s="4">
        <v>33.814</v>
      </c>
      <c r="C382" s="25" t="s">
        <v>386</v>
      </c>
      <c r="D382" s="25" t="s">
        <v>384</v>
      </c>
      <c r="E382" s="9">
        <v>21.73</v>
      </c>
      <c r="F382" s="9">
        <f t="shared" si="9"/>
        <v>0.64263322884012541</v>
      </c>
      <c r="G382" s="9">
        <f>Liquor!$F382*1.5</f>
        <v>0.96394984326018807</v>
      </c>
      <c r="H382" s="9">
        <v>12</v>
      </c>
      <c r="I382" s="6">
        <f>Liquor!$G382/Liquor!$H382</f>
        <v>8.0329153605015677E-2</v>
      </c>
      <c r="J382" s="47">
        <v>0.5</v>
      </c>
      <c r="K382" s="3"/>
      <c r="L382" s="3"/>
      <c r="M382" s="3">
        <f>SUM(Liquor!$J382:$L382)</f>
        <v>0.5</v>
      </c>
      <c r="N382" s="9">
        <f t="shared" si="10"/>
        <v>10.865</v>
      </c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">
      <c r="A383" s="41" t="s">
        <v>58</v>
      </c>
      <c r="B383" s="42">
        <v>25.36</v>
      </c>
      <c r="C383" s="14" t="s">
        <v>387</v>
      </c>
      <c r="D383" s="14" t="s">
        <v>384</v>
      </c>
      <c r="E383" s="36">
        <v>17.22</v>
      </c>
      <c r="F383" s="36">
        <f t="shared" si="9"/>
        <v>0.67902208201892744</v>
      </c>
      <c r="G383" s="36">
        <f>Liquor!$F383*1.5</f>
        <v>1.0185331230283912</v>
      </c>
      <c r="H383" s="36">
        <v>12</v>
      </c>
      <c r="I383" s="16">
        <f>Liquor!$G383/Liquor!$H383</f>
        <v>8.487776025236593E-2</v>
      </c>
      <c r="J383" s="63">
        <v>0.3</v>
      </c>
      <c r="K383" s="18"/>
      <c r="L383" s="18"/>
      <c r="M383" s="18">
        <f>SUM(Liquor!$J383:$L383)</f>
        <v>0.3</v>
      </c>
      <c r="N383" s="36">
        <f t="shared" si="10"/>
        <v>5.1659999999999995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24" t="s">
        <v>44</v>
      </c>
      <c r="B384" s="4">
        <v>33.814</v>
      </c>
      <c r="C384" s="25" t="s">
        <v>387</v>
      </c>
      <c r="D384" s="25" t="s">
        <v>384</v>
      </c>
      <c r="E384" s="9">
        <v>21.73</v>
      </c>
      <c r="F384" s="9">
        <f t="shared" si="9"/>
        <v>0.64263322884012541</v>
      </c>
      <c r="G384" s="9">
        <f>Liquor!$F384*1.5</f>
        <v>0.96394984326018807</v>
      </c>
      <c r="H384" s="9">
        <v>12</v>
      </c>
      <c r="I384" s="6">
        <f>Liquor!$G384/Liquor!$H384</f>
        <v>8.0329153605015677E-2</v>
      </c>
      <c r="J384" s="24"/>
      <c r="K384" s="3"/>
      <c r="L384" s="3"/>
      <c r="M384" s="3">
        <f>SUM(Liquor!$J384:$L384)</f>
        <v>0</v>
      </c>
      <c r="N384" s="9">
        <f t="shared" si="10"/>
        <v>0</v>
      </c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">
      <c r="A385" s="41" t="s">
        <v>58</v>
      </c>
      <c r="B385" s="42">
        <v>25.36</v>
      </c>
      <c r="C385" s="14" t="s">
        <v>388</v>
      </c>
      <c r="D385" s="14" t="s">
        <v>384</v>
      </c>
      <c r="E385" s="36">
        <v>17.22</v>
      </c>
      <c r="F385" s="36">
        <f t="shared" si="9"/>
        <v>0.67902208201892744</v>
      </c>
      <c r="G385" s="36">
        <f>Liquor!$F385*1.5</f>
        <v>1.0185331230283912</v>
      </c>
      <c r="H385" s="36">
        <v>12</v>
      </c>
      <c r="I385" s="16">
        <f>Liquor!$G385/Liquor!$H385</f>
        <v>8.487776025236593E-2</v>
      </c>
      <c r="J385" s="10"/>
      <c r="K385" s="18"/>
      <c r="L385" s="18"/>
      <c r="M385" s="18">
        <f>SUM(Liquor!$J385:$L385)</f>
        <v>0</v>
      </c>
      <c r="N385" s="36">
        <f t="shared" si="10"/>
        <v>0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24" t="s">
        <v>44</v>
      </c>
      <c r="B386" s="4">
        <v>33.814</v>
      </c>
      <c r="C386" s="25" t="s">
        <v>388</v>
      </c>
      <c r="D386" s="25" t="s">
        <v>384</v>
      </c>
      <c r="E386" s="9">
        <v>21.79</v>
      </c>
      <c r="F386" s="9">
        <f t="shared" si="9"/>
        <v>0.64440764180516941</v>
      </c>
      <c r="G386" s="9">
        <f>Liquor!$F386*1.5</f>
        <v>0.96661146270775411</v>
      </c>
      <c r="H386" s="9">
        <v>12</v>
      </c>
      <c r="I386" s="6">
        <f>Liquor!$G386/Liquor!$H386</f>
        <v>8.0550955225646176E-2</v>
      </c>
      <c r="J386" s="24"/>
      <c r="K386" s="3"/>
      <c r="L386" s="3"/>
      <c r="M386" s="3">
        <f>SUM(Liquor!$J386:$L386)</f>
        <v>0</v>
      </c>
      <c r="N386" s="9">
        <f t="shared" si="10"/>
        <v>0</v>
      </c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">
      <c r="A387" s="24" t="s">
        <v>44</v>
      </c>
      <c r="B387" s="4">
        <v>33.814</v>
      </c>
      <c r="C387" s="25" t="s">
        <v>389</v>
      </c>
      <c r="D387" s="25" t="s">
        <v>384</v>
      </c>
      <c r="E387" s="50">
        <v>22.98</v>
      </c>
      <c r="F387" s="9">
        <f t="shared" si="9"/>
        <v>0.67960016561187675</v>
      </c>
      <c r="G387" s="9">
        <f>Liquor!$F387*1.5</f>
        <v>1.0194002484178151</v>
      </c>
      <c r="H387" s="9">
        <v>12</v>
      </c>
      <c r="I387" s="6">
        <f>Liquor!$G387/Liquor!$H387</f>
        <v>8.4950020701484594E-2</v>
      </c>
      <c r="J387" s="24"/>
      <c r="K387" s="3"/>
      <c r="L387" s="3"/>
      <c r="M387" s="3">
        <f>SUM(Liquor!$J387:$L387)</f>
        <v>0</v>
      </c>
      <c r="N387" s="9">
        <f t="shared" si="10"/>
        <v>0</v>
      </c>
      <c r="O387" s="3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">
      <c r="A388" s="24" t="s">
        <v>58</v>
      </c>
      <c r="B388" s="4">
        <v>25.36</v>
      </c>
      <c r="C388" s="25" t="s">
        <v>390</v>
      </c>
      <c r="D388" s="25" t="s">
        <v>384</v>
      </c>
      <c r="E388" s="9">
        <v>17.34</v>
      </c>
      <c r="F388" s="9">
        <f t="shared" si="9"/>
        <v>0.68375394321766558</v>
      </c>
      <c r="G388" s="9">
        <f>Liquor!$F388*1.5</f>
        <v>1.0256309148264984</v>
      </c>
      <c r="H388" s="9">
        <v>12</v>
      </c>
      <c r="I388" s="6">
        <f>Liquor!$G388/Liquor!$H388</f>
        <v>8.5469242902208198E-2</v>
      </c>
      <c r="J388" s="24"/>
      <c r="K388" s="3"/>
      <c r="L388" s="3"/>
      <c r="M388" s="3">
        <f>SUM(Liquor!$J388:$L388)</f>
        <v>0</v>
      </c>
      <c r="N388" s="9">
        <f t="shared" si="10"/>
        <v>0</v>
      </c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">
      <c r="A389" s="34" t="s">
        <v>44</v>
      </c>
      <c r="B389" s="35">
        <v>33.814</v>
      </c>
      <c r="C389" s="14" t="s">
        <v>390</v>
      </c>
      <c r="D389" s="14" t="s">
        <v>384</v>
      </c>
      <c r="E389" s="40">
        <v>22.78</v>
      </c>
      <c r="F389" s="36">
        <f t="shared" si="9"/>
        <v>0.67368545572839655</v>
      </c>
      <c r="G389" s="36">
        <f>Liquor!$F389*1.5</f>
        <v>1.0105281835925948</v>
      </c>
      <c r="H389" s="36">
        <v>12</v>
      </c>
      <c r="I389" s="16">
        <f>Liquor!$G389/Liquor!$H389</f>
        <v>8.4210681966049569E-2</v>
      </c>
      <c r="J389" s="63">
        <v>0.5</v>
      </c>
      <c r="K389" s="18"/>
      <c r="L389" s="18"/>
      <c r="M389" s="18">
        <f>SUM(Liquor!$J389:$L389)</f>
        <v>0.5</v>
      </c>
      <c r="N389" s="36">
        <f t="shared" si="10"/>
        <v>11.39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">
      <c r="A390" s="24" t="s">
        <v>44</v>
      </c>
      <c r="B390" s="4">
        <v>33.814</v>
      </c>
      <c r="C390" s="25" t="s">
        <v>391</v>
      </c>
      <c r="D390" s="25" t="s">
        <v>384</v>
      </c>
      <c r="E390" s="9">
        <v>18.57</v>
      </c>
      <c r="F390" s="36">
        <f t="shared" si="9"/>
        <v>0.54918081268113805</v>
      </c>
      <c r="G390" s="36">
        <f>Liquor!$F390*1.5</f>
        <v>0.82377121902170702</v>
      </c>
      <c r="H390" s="36">
        <v>12</v>
      </c>
      <c r="I390" s="16">
        <f>Liquor!$G390/Liquor!$H390</f>
        <v>6.8647601585142257E-2</v>
      </c>
      <c r="J390" s="24"/>
      <c r="K390" s="3"/>
      <c r="L390" s="3"/>
      <c r="M390" s="38">
        <f>SUM(Liquor!$J390:$L390)+$J462</f>
        <v>0</v>
      </c>
      <c r="N390" s="36">
        <f t="shared" si="10"/>
        <v>0</v>
      </c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">
      <c r="A391" s="24" t="s">
        <v>58</v>
      </c>
      <c r="B391" s="4">
        <v>25.36</v>
      </c>
      <c r="C391" s="25" t="s">
        <v>392</v>
      </c>
      <c r="D391" s="25" t="s">
        <v>384</v>
      </c>
      <c r="E391" s="9">
        <v>13.78</v>
      </c>
      <c r="F391" s="9">
        <f t="shared" si="9"/>
        <v>0.54337539432176651</v>
      </c>
      <c r="G391" s="9">
        <f>Liquor!$F391*1.5</f>
        <v>0.81506309148264977</v>
      </c>
      <c r="H391" s="9">
        <v>11</v>
      </c>
      <c r="I391" s="6">
        <f>Liquor!$G391/Liquor!$H391</f>
        <v>7.4096644680240895E-2</v>
      </c>
      <c r="J391" s="47">
        <v>0.75</v>
      </c>
      <c r="K391" s="3"/>
      <c r="L391" s="3"/>
      <c r="M391" s="3">
        <f>SUM(Liquor!$J391:$L391)</f>
        <v>0.75</v>
      </c>
      <c r="N391" s="9">
        <f t="shared" si="10"/>
        <v>10.334999999999999</v>
      </c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">
      <c r="A392" s="24" t="s">
        <v>44</v>
      </c>
      <c r="B392" s="4">
        <v>33.814</v>
      </c>
      <c r="C392" s="25" t="s">
        <v>393</v>
      </c>
      <c r="D392" s="25" t="s">
        <v>384</v>
      </c>
      <c r="E392" s="9">
        <v>33.65</v>
      </c>
      <c r="F392" s="9">
        <f t="shared" si="9"/>
        <v>0.99514993789554618</v>
      </c>
      <c r="G392" s="9">
        <f>Liquor!$F392*1.5</f>
        <v>1.4927249068433193</v>
      </c>
      <c r="H392" s="9">
        <v>14</v>
      </c>
      <c r="I392" s="6">
        <f>Liquor!$G392/Liquor!$H392</f>
        <v>0.10662320763166566</v>
      </c>
      <c r="J392" s="47">
        <v>0.3</v>
      </c>
      <c r="K392" s="3"/>
      <c r="L392" s="3"/>
      <c r="M392" s="3">
        <f>SUM(Liquor!$J392:$L392)</f>
        <v>0.3</v>
      </c>
      <c r="N392" s="9">
        <f t="shared" si="10"/>
        <v>10.094999999999999</v>
      </c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">
      <c r="A393" s="41" t="s">
        <v>58</v>
      </c>
      <c r="B393" s="42">
        <v>25.36</v>
      </c>
      <c r="C393" s="14" t="s">
        <v>394</v>
      </c>
      <c r="D393" s="14" t="s">
        <v>384</v>
      </c>
      <c r="E393" s="36">
        <v>42.55</v>
      </c>
      <c r="F393" s="9">
        <f t="shared" si="9"/>
        <v>1.6778391167192428</v>
      </c>
      <c r="G393" s="9">
        <f>Liquor!$F393*1.5</f>
        <v>2.5167586750788642</v>
      </c>
      <c r="H393" s="36">
        <v>15</v>
      </c>
      <c r="I393" s="6">
        <f>Liquor!$G393/Liquor!$H393</f>
        <v>0.16778391167192427</v>
      </c>
      <c r="J393" s="10"/>
      <c r="K393" s="18"/>
      <c r="L393" s="18"/>
      <c r="M393" s="3">
        <f>SUM(Liquor!$J393:$L393)</f>
        <v>0</v>
      </c>
      <c r="N393" s="9">
        <f t="shared" si="10"/>
        <v>0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24" t="s">
        <v>44</v>
      </c>
      <c r="B394" s="4">
        <v>33.814</v>
      </c>
      <c r="C394" s="25" t="s">
        <v>395</v>
      </c>
      <c r="D394" s="25" t="s">
        <v>384</v>
      </c>
      <c r="E394" s="9">
        <v>27.29</v>
      </c>
      <c r="F394" s="9">
        <f t="shared" si="9"/>
        <v>0.80706216360087535</v>
      </c>
      <c r="G394" s="9">
        <f>Liquor!$F394*1.5</f>
        <v>1.2105932454013131</v>
      </c>
      <c r="H394" s="9">
        <v>12</v>
      </c>
      <c r="I394" s="6">
        <f>Liquor!$G394/Liquor!$H394</f>
        <v>0.10088277045010942</v>
      </c>
      <c r="J394" s="47">
        <v>1</v>
      </c>
      <c r="K394" s="3"/>
      <c r="L394" s="3"/>
      <c r="M394" s="3">
        <f>SUM(Liquor!$J394:$L394)</f>
        <v>1</v>
      </c>
      <c r="N394" s="9">
        <f t="shared" si="10"/>
        <v>27.29</v>
      </c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">
      <c r="A395" s="34" t="s">
        <v>44</v>
      </c>
      <c r="B395" s="35">
        <v>33.814</v>
      </c>
      <c r="C395" s="14" t="s">
        <v>396</v>
      </c>
      <c r="D395" s="14" t="s">
        <v>384</v>
      </c>
      <c r="E395" s="36">
        <v>14.32</v>
      </c>
      <c r="F395" s="36">
        <f t="shared" si="9"/>
        <v>0.42349322765718345</v>
      </c>
      <c r="G395" s="36">
        <f>Liquor!$F395*1.5</f>
        <v>0.63523984148577517</v>
      </c>
      <c r="H395" s="36">
        <v>10</v>
      </c>
      <c r="I395" s="16">
        <f>Liquor!$G395/Liquor!$H395</f>
        <v>6.3523984148577517E-2</v>
      </c>
      <c r="J395" s="10"/>
      <c r="K395" s="18"/>
      <c r="L395" s="44">
        <v>1</v>
      </c>
      <c r="M395" s="18">
        <f>SUM(Liquor!$J395:$L395)</f>
        <v>1</v>
      </c>
      <c r="N395" s="36">
        <f t="shared" si="10"/>
        <v>14.32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">
      <c r="A396" s="24" t="s">
        <v>58</v>
      </c>
      <c r="B396" s="4">
        <v>25.36</v>
      </c>
      <c r="C396" s="25" t="s">
        <v>397</v>
      </c>
      <c r="D396" s="25" t="s">
        <v>384</v>
      </c>
      <c r="E396" s="9">
        <v>17.39</v>
      </c>
      <c r="F396" s="9">
        <f t="shared" si="9"/>
        <v>0.68572555205047325</v>
      </c>
      <c r="G396" s="9">
        <f>Liquor!$F396*1.5</f>
        <v>1.0285883280757098</v>
      </c>
      <c r="H396" s="9">
        <v>10</v>
      </c>
      <c r="I396" s="6">
        <f>Liquor!$G396/Liquor!$H396</f>
        <v>0.10285883280757098</v>
      </c>
      <c r="J396" s="24"/>
      <c r="K396" s="3"/>
      <c r="L396" s="3"/>
      <c r="M396" s="3">
        <f>SUM(Liquor!$J396:$L396)</f>
        <v>0</v>
      </c>
      <c r="N396" s="9">
        <f t="shared" si="10"/>
        <v>0</v>
      </c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">
      <c r="A397" s="24" t="s">
        <v>44</v>
      </c>
      <c r="B397" s="4">
        <v>33.814</v>
      </c>
      <c r="C397" s="14" t="s">
        <v>397</v>
      </c>
      <c r="D397" s="25" t="s">
        <v>384</v>
      </c>
      <c r="E397" s="50">
        <v>16.29</v>
      </c>
      <c r="F397" s="9">
        <f t="shared" si="9"/>
        <v>0.48175312000946352</v>
      </c>
      <c r="G397" s="9">
        <f>Liquor!$F397*1.5</f>
        <v>0.72262968001419525</v>
      </c>
      <c r="H397" s="9">
        <v>10</v>
      </c>
      <c r="I397" s="6">
        <f>Liquor!$G397/Liquor!$H397</f>
        <v>7.2262968001419528E-2</v>
      </c>
      <c r="J397" s="47">
        <v>0.15</v>
      </c>
      <c r="K397" s="3"/>
      <c r="L397" s="3"/>
      <c r="M397" s="30">
        <f>SUM(Liquor!$J397:$L397)</f>
        <v>0.15</v>
      </c>
      <c r="N397" s="9">
        <f t="shared" si="10"/>
        <v>2.4434999999999998</v>
      </c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">
      <c r="A398" s="41" t="s">
        <v>58</v>
      </c>
      <c r="B398" s="42">
        <v>25.36</v>
      </c>
      <c r="C398" s="14" t="s">
        <v>398</v>
      </c>
      <c r="D398" s="14" t="s">
        <v>384</v>
      </c>
      <c r="E398" s="36">
        <v>17.05</v>
      </c>
      <c r="F398" s="36">
        <f t="shared" si="9"/>
        <v>0.67231861198738174</v>
      </c>
      <c r="G398" s="36">
        <f>Liquor!$F398*1.5</f>
        <v>1.0084779179810726</v>
      </c>
      <c r="H398" s="36">
        <v>12</v>
      </c>
      <c r="I398" s="16">
        <f>Liquor!$G398/Liquor!$H398</f>
        <v>8.4039826498422718E-2</v>
      </c>
      <c r="J398" s="10"/>
      <c r="K398" s="18"/>
      <c r="L398" s="18"/>
      <c r="M398" s="18">
        <f>SUM(Liquor!$J398:$L398)</f>
        <v>0</v>
      </c>
      <c r="N398" s="36">
        <f t="shared" si="10"/>
        <v>0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24" t="s">
        <v>44</v>
      </c>
      <c r="B399" s="4">
        <v>33.814</v>
      </c>
      <c r="C399" s="25" t="s">
        <v>398</v>
      </c>
      <c r="D399" s="25" t="s">
        <v>384</v>
      </c>
      <c r="E399" s="39">
        <v>21.74</v>
      </c>
      <c r="F399" s="9">
        <f t="shared" si="9"/>
        <v>0.64292896433429936</v>
      </c>
      <c r="G399" s="9">
        <f>Liquor!$F399*1.5</f>
        <v>0.96439344650144898</v>
      </c>
      <c r="H399" s="9">
        <v>12</v>
      </c>
      <c r="I399" s="6">
        <f>Liquor!$G399/Liquor!$H399</f>
        <v>8.036612054178742E-2</v>
      </c>
      <c r="J399" s="47">
        <v>0.25</v>
      </c>
      <c r="K399" s="3"/>
      <c r="L399" s="3"/>
      <c r="M399" s="3">
        <f>SUM(Liquor!$J399:$L399)</f>
        <v>0.25</v>
      </c>
      <c r="N399" s="9">
        <f t="shared" si="10"/>
        <v>5.4349999999999996</v>
      </c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">
      <c r="A400" s="82"/>
      <c r="B400" s="83"/>
      <c r="C400" s="33"/>
      <c r="D400" s="33"/>
      <c r="E400" s="84"/>
      <c r="F400" s="84"/>
      <c r="G400" s="85"/>
      <c r="H400" s="85"/>
      <c r="I400" s="86"/>
      <c r="J400" s="87"/>
      <c r="K400" s="88"/>
      <c r="L400" s="88"/>
      <c r="M400" s="88" t="s">
        <v>12</v>
      </c>
      <c r="N400" s="85">
        <f>SUM(Liquor!$N$3:$N$399)</f>
        <v>6528.7571000000007</v>
      </c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5.75" customHeight="1" x14ac:dyDescent="0.2">
      <c r="A401" s="82"/>
      <c r="B401" s="83"/>
      <c r="C401" s="89"/>
      <c r="D401" s="33"/>
      <c r="E401" s="84"/>
      <c r="F401" s="84"/>
      <c r="G401" s="85"/>
      <c r="H401" s="85"/>
      <c r="I401" s="86" t="e">
        <f>SUBTOTAL(101,Liquor!$I$3:$I$399)</f>
        <v>#DIV/0!</v>
      </c>
      <c r="J401" s="87"/>
      <c r="K401" s="88"/>
      <c r="L401" s="88"/>
      <c r="M401" s="88"/>
      <c r="N401" s="85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5.75" customHeight="1" x14ac:dyDescent="0.2">
      <c r="A402" s="2"/>
      <c r="B402" s="90"/>
      <c r="C402" s="91"/>
      <c r="D402" s="91"/>
      <c r="E402" s="92"/>
      <c r="F402" s="92"/>
      <c r="G402" s="93"/>
      <c r="H402" s="93"/>
      <c r="I402" s="94"/>
      <c r="J402" s="95"/>
      <c r="K402" s="93"/>
      <c r="L402" s="96"/>
      <c r="M402" s="96"/>
      <c r="N402" s="9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97"/>
      <c r="C403" s="98" t="s">
        <v>399</v>
      </c>
      <c r="D403" s="98" t="s">
        <v>400</v>
      </c>
      <c r="E403" s="99" t="s">
        <v>401</v>
      </c>
      <c r="F403" s="348" t="s">
        <v>402</v>
      </c>
      <c r="G403" s="349"/>
      <c r="H403" s="100" t="s">
        <v>403</v>
      </c>
      <c r="I403" s="100" t="s">
        <v>404</v>
      </c>
      <c r="J403" s="100" t="s">
        <v>405</v>
      </c>
      <c r="K403" s="100" t="s">
        <v>16</v>
      </c>
      <c r="L403" s="101"/>
      <c r="M403" s="1"/>
      <c r="N403" s="2"/>
      <c r="O403" s="10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97"/>
      <c r="C404" s="103" t="s">
        <v>406</v>
      </c>
      <c r="D404" s="104"/>
      <c r="E404" s="105">
        <v>0.95</v>
      </c>
      <c r="F404" s="350" t="s">
        <v>407</v>
      </c>
      <c r="G404" s="349"/>
      <c r="H404" s="106">
        <f>SUM((D404*33.8)*E404)</f>
        <v>0</v>
      </c>
      <c r="I404" s="107">
        <f>H404/25.6</f>
        <v>0</v>
      </c>
      <c r="J404" s="108"/>
      <c r="K404" s="108"/>
      <c r="L404" s="10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97"/>
      <c r="C405" s="109"/>
      <c r="D405" s="110"/>
      <c r="E405" s="105">
        <v>0.03</v>
      </c>
      <c r="F405" s="350" t="s">
        <v>408</v>
      </c>
      <c r="G405" s="349"/>
      <c r="H405" s="106">
        <f>SUM((D404*33.8)*E405)</f>
        <v>0</v>
      </c>
      <c r="I405" s="107"/>
      <c r="J405" s="108"/>
      <c r="K405" s="107">
        <f>H405/5</f>
        <v>0</v>
      </c>
      <c r="L405" s="1"/>
      <c r="M405" s="111"/>
      <c r="N405" s="11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97"/>
      <c r="C406" s="109"/>
      <c r="D406" s="110"/>
      <c r="E406" s="113"/>
      <c r="F406" s="351"/>
      <c r="G406" s="352"/>
      <c r="H406" s="115"/>
      <c r="I406" s="116"/>
      <c r="J406" s="115"/>
      <c r="K406" s="101"/>
      <c r="L406" s="1"/>
      <c r="M406" s="111"/>
      <c r="N406" s="11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97"/>
      <c r="C407" s="98" t="s">
        <v>399</v>
      </c>
      <c r="D407" s="98" t="s">
        <v>400</v>
      </c>
      <c r="E407" s="99" t="s">
        <v>401</v>
      </c>
      <c r="F407" s="348" t="s">
        <v>402</v>
      </c>
      <c r="G407" s="349"/>
      <c r="H407" s="100" t="s">
        <v>403</v>
      </c>
      <c r="I407" s="100" t="s">
        <v>404</v>
      </c>
      <c r="J407" s="100" t="s">
        <v>405</v>
      </c>
      <c r="K407" s="100" t="s">
        <v>16</v>
      </c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97"/>
      <c r="C408" s="103" t="s">
        <v>409</v>
      </c>
      <c r="D408" s="104"/>
      <c r="E408" s="105">
        <v>0.95</v>
      </c>
      <c r="F408" s="350" t="s">
        <v>410</v>
      </c>
      <c r="G408" s="349"/>
      <c r="H408" s="106">
        <f>SUM((D408*33.8)*E408)</f>
        <v>0</v>
      </c>
      <c r="I408" s="107"/>
      <c r="J408" s="108">
        <f>H408/33.8</f>
        <v>0</v>
      </c>
      <c r="K408" s="108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97"/>
      <c r="C409" s="109"/>
      <c r="D409" s="110"/>
      <c r="E409" s="105">
        <v>0.03</v>
      </c>
      <c r="F409" s="350" t="s">
        <v>411</v>
      </c>
      <c r="G409" s="349"/>
      <c r="H409" s="106">
        <f>SUM((D408*33.8)*E409)</f>
        <v>0</v>
      </c>
      <c r="I409" s="107"/>
      <c r="J409" s="108"/>
      <c r="K409" s="107">
        <f>H409/5</f>
        <v>0</v>
      </c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97"/>
      <c r="C410" s="117"/>
      <c r="D410" s="117"/>
      <c r="E410" s="114"/>
      <c r="F410" s="114"/>
      <c r="G410" s="114"/>
      <c r="H410" s="118"/>
      <c r="I410" s="118"/>
      <c r="J410" s="118"/>
      <c r="K410" s="118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90"/>
      <c r="C411" s="98" t="s">
        <v>399</v>
      </c>
      <c r="D411" s="98" t="s">
        <v>400</v>
      </c>
      <c r="E411" s="99" t="s">
        <v>401</v>
      </c>
      <c r="F411" s="348" t="s">
        <v>402</v>
      </c>
      <c r="G411" s="349"/>
      <c r="H411" s="100" t="s">
        <v>403</v>
      </c>
      <c r="I411" s="100" t="s">
        <v>404</v>
      </c>
      <c r="J411" s="100" t="s">
        <v>405</v>
      </c>
      <c r="K411" s="100" t="s">
        <v>16</v>
      </c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97"/>
      <c r="C412" s="103" t="s">
        <v>412</v>
      </c>
      <c r="D412" s="119"/>
      <c r="E412" s="105">
        <v>0.65</v>
      </c>
      <c r="F412" s="350" t="s">
        <v>413</v>
      </c>
      <c r="G412" s="349"/>
      <c r="H412" s="106">
        <f t="shared" ref="H412:H414" si="11">SUM(($D$412*33.8)*E412)</f>
        <v>0</v>
      </c>
      <c r="I412" s="107"/>
      <c r="J412" s="107">
        <f>H412/33.8</f>
        <v>0</v>
      </c>
      <c r="K412" s="108"/>
      <c r="L412" s="10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97"/>
      <c r="C413" s="109"/>
      <c r="D413" s="109"/>
      <c r="E413" s="105">
        <v>0.31</v>
      </c>
      <c r="F413" s="350" t="s">
        <v>414</v>
      </c>
      <c r="G413" s="349"/>
      <c r="H413" s="106">
        <f t="shared" si="11"/>
        <v>0</v>
      </c>
      <c r="I413" s="107">
        <f t="shared" ref="I413:I414" si="12">H413/25.6</f>
        <v>0</v>
      </c>
      <c r="J413" s="107"/>
      <c r="K413" s="108"/>
      <c r="L413" s="10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90"/>
      <c r="C414" s="120"/>
      <c r="D414" s="120"/>
      <c r="E414" s="105">
        <v>0.05</v>
      </c>
      <c r="F414" s="350" t="s">
        <v>415</v>
      </c>
      <c r="G414" s="349"/>
      <c r="H414" s="106">
        <f t="shared" si="11"/>
        <v>0</v>
      </c>
      <c r="I414" s="107">
        <f t="shared" si="12"/>
        <v>0</v>
      </c>
      <c r="J414" s="107"/>
      <c r="K414" s="108"/>
      <c r="L414" s="10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90"/>
      <c r="C415" s="121"/>
      <c r="D415" s="121"/>
      <c r="E415" s="105"/>
      <c r="F415" s="350"/>
      <c r="G415" s="349"/>
      <c r="H415" s="106"/>
      <c r="I415" s="107"/>
      <c r="J415" s="107"/>
      <c r="K415" s="108"/>
      <c r="L415" s="10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90"/>
      <c r="C416" s="121"/>
      <c r="D416" s="121"/>
      <c r="E416" s="112"/>
      <c r="F416" s="112"/>
      <c r="G416" s="2"/>
      <c r="H416" s="2"/>
      <c r="I416" s="122"/>
      <c r="J416" s="2"/>
      <c r="K416" s="123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90"/>
      <c r="C417" s="98"/>
      <c r="D417" s="98"/>
      <c r="E417" s="99"/>
      <c r="F417" s="348"/>
      <c r="G417" s="349"/>
      <c r="H417" s="100"/>
      <c r="I417" s="100"/>
      <c r="J417" s="100"/>
      <c r="K417" s="100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90"/>
      <c r="C418" s="103"/>
      <c r="D418" s="119"/>
      <c r="E418" s="105"/>
      <c r="F418" s="350"/>
      <c r="G418" s="349"/>
      <c r="H418" s="106"/>
      <c r="I418" s="107"/>
      <c r="J418" s="107"/>
      <c r="K418" s="108"/>
      <c r="L418" s="10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90"/>
      <c r="C419" s="109"/>
      <c r="D419" s="109"/>
      <c r="E419" s="105"/>
      <c r="F419" s="350"/>
      <c r="G419" s="349"/>
      <c r="H419" s="106"/>
      <c r="I419" s="107"/>
      <c r="J419" s="107"/>
      <c r="K419" s="108"/>
      <c r="L419" s="10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90"/>
      <c r="C420" s="121"/>
      <c r="D420" s="121"/>
      <c r="E420" s="112"/>
      <c r="F420" s="112"/>
      <c r="G420" s="2"/>
      <c r="H420" s="2"/>
      <c r="I420" s="122"/>
      <c r="J420" s="2"/>
      <c r="K420" s="123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90"/>
      <c r="C421" s="98" t="s">
        <v>399</v>
      </c>
      <c r="D421" s="98" t="s">
        <v>400</v>
      </c>
      <c r="E421" s="99" t="s">
        <v>401</v>
      </c>
      <c r="F421" s="348" t="s">
        <v>402</v>
      </c>
      <c r="G421" s="349"/>
      <c r="H421" s="100" t="s">
        <v>403</v>
      </c>
      <c r="I421" s="100" t="s">
        <v>404</v>
      </c>
      <c r="J421" s="100" t="s">
        <v>405</v>
      </c>
      <c r="K421" s="100" t="s">
        <v>16</v>
      </c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90"/>
      <c r="C422" s="103" t="s">
        <v>416</v>
      </c>
      <c r="D422" s="119"/>
      <c r="E422" s="105">
        <v>0.75</v>
      </c>
      <c r="F422" s="350" t="s">
        <v>417</v>
      </c>
      <c r="G422" s="349"/>
      <c r="H422" s="106">
        <f t="shared" ref="H422:H423" si="13">(($D$422*33.8)*E422)</f>
        <v>0</v>
      </c>
      <c r="I422" s="107">
        <f>H422/25.6</f>
        <v>0</v>
      </c>
      <c r="J422" s="107"/>
      <c r="K422" s="108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90"/>
      <c r="C423" s="109"/>
      <c r="D423" s="109"/>
      <c r="E423" s="105">
        <v>0.25</v>
      </c>
      <c r="F423" s="350" t="s">
        <v>418</v>
      </c>
      <c r="G423" s="349"/>
      <c r="H423" s="106">
        <f t="shared" si="13"/>
        <v>0</v>
      </c>
      <c r="I423" s="107"/>
      <c r="J423" s="107">
        <f>H423/33.8</f>
        <v>0</v>
      </c>
      <c r="K423" s="108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90"/>
      <c r="C424" s="121"/>
      <c r="D424" s="121"/>
      <c r="E424" s="112"/>
      <c r="F424" s="112"/>
      <c r="G424" s="2"/>
      <c r="H424" s="2"/>
      <c r="I424" s="122"/>
      <c r="J424" s="2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90"/>
      <c r="C425" s="98"/>
      <c r="D425" s="98"/>
      <c r="E425" s="99"/>
      <c r="F425" s="348"/>
      <c r="G425" s="349"/>
      <c r="H425" s="100"/>
      <c r="I425" s="100"/>
      <c r="J425" s="100"/>
      <c r="K425" s="100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90"/>
      <c r="C426" s="103"/>
      <c r="D426" s="119"/>
      <c r="E426" s="105"/>
      <c r="F426" s="350"/>
      <c r="G426" s="349"/>
      <c r="H426" s="106"/>
      <c r="I426" s="107"/>
      <c r="J426" s="107"/>
      <c r="K426" s="108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90"/>
      <c r="C427" s="109"/>
      <c r="D427" s="109"/>
      <c r="E427" s="105"/>
      <c r="F427" s="350"/>
      <c r="G427" s="349"/>
      <c r="H427" s="106"/>
      <c r="I427" s="107"/>
      <c r="J427" s="107"/>
      <c r="K427" s="108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90"/>
      <c r="C428" s="109"/>
      <c r="D428" s="109"/>
      <c r="E428" s="105"/>
      <c r="F428" s="350"/>
      <c r="G428" s="349"/>
      <c r="H428" s="106"/>
      <c r="I428" s="107"/>
      <c r="J428" s="107"/>
      <c r="K428" s="108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90"/>
      <c r="C429" s="121"/>
      <c r="D429" s="121"/>
      <c r="E429" s="112"/>
      <c r="F429" s="112"/>
      <c r="G429" s="2"/>
      <c r="H429" s="2"/>
      <c r="I429" s="122"/>
      <c r="J429" s="2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90"/>
      <c r="C430" s="98" t="s">
        <v>399</v>
      </c>
      <c r="D430" s="98" t="s">
        <v>400</v>
      </c>
      <c r="E430" s="99" t="s">
        <v>401</v>
      </c>
      <c r="F430" s="348" t="s">
        <v>402</v>
      </c>
      <c r="G430" s="349"/>
      <c r="H430" s="100" t="s">
        <v>403</v>
      </c>
      <c r="I430" s="100" t="s">
        <v>404</v>
      </c>
      <c r="J430" s="100" t="s">
        <v>405</v>
      </c>
      <c r="K430" s="100" t="s">
        <v>16</v>
      </c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90"/>
      <c r="C431" s="103" t="s">
        <v>419</v>
      </c>
      <c r="D431" s="119"/>
      <c r="E431" s="105">
        <v>0.67</v>
      </c>
      <c r="F431" s="350" t="s">
        <v>420</v>
      </c>
      <c r="G431" s="349"/>
      <c r="H431" s="106">
        <f t="shared" ref="H431:H432" si="14">(($D$431*33.8)*E431)</f>
        <v>0</v>
      </c>
      <c r="I431" s="107"/>
      <c r="J431" s="107">
        <f>H431/33.8</f>
        <v>0</v>
      </c>
      <c r="K431" s="108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90"/>
      <c r="C432" s="109"/>
      <c r="D432" s="109"/>
      <c r="E432" s="105">
        <v>0.33</v>
      </c>
      <c r="F432" s="350" t="s">
        <v>414</v>
      </c>
      <c r="G432" s="349"/>
      <c r="H432" s="106">
        <f t="shared" si="14"/>
        <v>0</v>
      </c>
      <c r="I432" s="107">
        <f>H432/25.6</f>
        <v>0</v>
      </c>
      <c r="J432" s="107"/>
      <c r="K432" s="108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90"/>
      <c r="C433" s="121"/>
      <c r="D433" s="121"/>
      <c r="E433" s="112"/>
      <c r="F433" s="112"/>
      <c r="G433" s="2"/>
      <c r="H433" s="2"/>
      <c r="I433" s="122"/>
      <c r="J433" s="2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90"/>
      <c r="C434" s="98" t="s">
        <v>399</v>
      </c>
      <c r="D434" s="98" t="s">
        <v>400</v>
      </c>
      <c r="E434" s="99" t="s">
        <v>401</v>
      </c>
      <c r="F434" s="348" t="s">
        <v>402</v>
      </c>
      <c r="G434" s="349"/>
      <c r="H434" s="100" t="s">
        <v>403</v>
      </c>
      <c r="I434" s="100" t="s">
        <v>404</v>
      </c>
      <c r="J434" s="100" t="s">
        <v>405</v>
      </c>
      <c r="K434" s="100" t="s">
        <v>16</v>
      </c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90"/>
      <c r="C435" s="103" t="s">
        <v>421</v>
      </c>
      <c r="D435" s="119"/>
      <c r="E435" s="105">
        <v>0.33</v>
      </c>
      <c r="F435" s="350" t="s">
        <v>422</v>
      </c>
      <c r="G435" s="349"/>
      <c r="H435" s="106">
        <f t="shared" ref="H435:H436" si="15">(($D$435*33.8)*E435)</f>
        <v>0</v>
      </c>
      <c r="I435" s="107"/>
      <c r="J435" s="107">
        <f>H435/33.8</f>
        <v>0</v>
      </c>
      <c r="K435" s="108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90"/>
      <c r="C436" s="109"/>
      <c r="D436" s="109"/>
      <c r="E436" s="124"/>
      <c r="F436" s="350"/>
      <c r="G436" s="349"/>
      <c r="H436" s="106">
        <f t="shared" si="15"/>
        <v>0</v>
      </c>
      <c r="I436" s="107"/>
      <c r="J436" s="107"/>
      <c r="K436" s="125">
        <f>H436/16</f>
        <v>0</v>
      </c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90"/>
      <c r="C437" s="121"/>
      <c r="D437" s="121"/>
      <c r="E437" s="112"/>
      <c r="F437" s="112"/>
      <c r="G437" s="2"/>
      <c r="H437" s="2"/>
      <c r="I437" s="122"/>
      <c r="J437" s="2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90"/>
      <c r="C438" s="98" t="s">
        <v>399</v>
      </c>
      <c r="D438" s="98" t="s">
        <v>400</v>
      </c>
      <c r="E438" s="99" t="s">
        <v>401</v>
      </c>
      <c r="F438" s="348" t="s">
        <v>402</v>
      </c>
      <c r="G438" s="349"/>
      <c r="H438" s="100" t="s">
        <v>403</v>
      </c>
      <c r="I438" s="100" t="s">
        <v>404</v>
      </c>
      <c r="J438" s="100" t="s">
        <v>405</v>
      </c>
      <c r="K438" s="100" t="s">
        <v>16</v>
      </c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90"/>
      <c r="C439" s="103" t="s">
        <v>423</v>
      </c>
      <c r="D439" s="119"/>
      <c r="E439" s="105">
        <v>0.33300000000000002</v>
      </c>
      <c r="F439" s="350" t="s">
        <v>424</v>
      </c>
      <c r="G439" s="349"/>
      <c r="H439" s="106">
        <f t="shared" ref="H439:H442" si="16">(($D$439*33.8)*E439)</f>
        <v>0</v>
      </c>
      <c r="I439" s="107"/>
      <c r="J439" s="107">
        <f t="shared" ref="J439:J440" si="17">H439/33.8</f>
        <v>0</v>
      </c>
      <c r="K439" s="108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90"/>
      <c r="C440" s="109"/>
      <c r="D440" s="109"/>
      <c r="E440" s="105">
        <v>0.33300000000000002</v>
      </c>
      <c r="F440" s="350" t="s">
        <v>425</v>
      </c>
      <c r="G440" s="349"/>
      <c r="H440" s="106">
        <f t="shared" si="16"/>
        <v>0</v>
      </c>
      <c r="I440" s="107"/>
      <c r="J440" s="107">
        <f t="shared" si="17"/>
        <v>0</v>
      </c>
      <c r="K440" s="108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90"/>
      <c r="C441" s="120"/>
      <c r="D441" s="120"/>
      <c r="E441" s="105">
        <v>0.33300000000000002</v>
      </c>
      <c r="F441" s="350" t="s">
        <v>426</v>
      </c>
      <c r="G441" s="349"/>
      <c r="H441" s="106">
        <f t="shared" si="16"/>
        <v>0</v>
      </c>
      <c r="I441" s="107">
        <f>H441/25.6</f>
        <v>0</v>
      </c>
      <c r="J441" s="107"/>
      <c r="K441" s="108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90"/>
      <c r="C442" s="121"/>
      <c r="D442" s="121"/>
      <c r="E442" s="124"/>
      <c r="F442" s="350"/>
      <c r="G442" s="349"/>
      <c r="H442" s="106">
        <f t="shared" si="16"/>
        <v>0</v>
      </c>
      <c r="I442" s="107"/>
      <c r="J442" s="107"/>
      <c r="K442" s="125">
        <f>H442/5</f>
        <v>0</v>
      </c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90"/>
      <c r="C443" s="121"/>
      <c r="D443" s="121"/>
      <c r="E443" s="112"/>
      <c r="F443" s="112"/>
      <c r="G443" s="2"/>
      <c r="H443" s="2"/>
      <c r="I443" s="122"/>
      <c r="J443" s="2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90"/>
      <c r="C444" s="98" t="s">
        <v>399</v>
      </c>
      <c r="D444" s="98" t="s">
        <v>400</v>
      </c>
      <c r="E444" s="99" t="s">
        <v>401</v>
      </c>
      <c r="F444" s="348" t="s">
        <v>402</v>
      </c>
      <c r="G444" s="349"/>
      <c r="H444" s="100" t="s">
        <v>403</v>
      </c>
      <c r="I444" s="100" t="s">
        <v>404</v>
      </c>
      <c r="J444" s="100" t="s">
        <v>405</v>
      </c>
      <c r="K444" s="100" t="s">
        <v>16</v>
      </c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90"/>
      <c r="C445" s="103" t="s">
        <v>427</v>
      </c>
      <c r="D445" s="119"/>
      <c r="E445" s="105">
        <v>0.85</v>
      </c>
      <c r="F445" s="350" t="s">
        <v>428</v>
      </c>
      <c r="G445" s="349"/>
      <c r="H445" s="106">
        <f t="shared" ref="H445:H447" si="18">(($D$445*33.8)*E445)</f>
        <v>0</v>
      </c>
      <c r="I445" s="107"/>
      <c r="J445" s="107">
        <f>H445/33.8</f>
        <v>0</v>
      </c>
      <c r="K445" s="108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90"/>
      <c r="C446" s="109"/>
      <c r="D446" s="109"/>
      <c r="E446" s="105">
        <v>0.14000000000000001</v>
      </c>
      <c r="F446" s="350" t="s">
        <v>429</v>
      </c>
      <c r="G446" s="349"/>
      <c r="H446" s="106">
        <f t="shared" si="18"/>
        <v>0</v>
      </c>
      <c r="I446" s="107">
        <f t="shared" ref="I446:I447" si="19">H446/25.6</f>
        <v>0</v>
      </c>
      <c r="J446" s="107"/>
      <c r="K446" s="108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90"/>
      <c r="C447" s="120"/>
      <c r="D447" s="120"/>
      <c r="E447" s="105">
        <v>0.01</v>
      </c>
      <c r="F447" s="350" t="s">
        <v>430</v>
      </c>
      <c r="G447" s="349"/>
      <c r="H447" s="106">
        <f t="shared" si="18"/>
        <v>0</v>
      </c>
      <c r="I447" s="107">
        <f t="shared" si="19"/>
        <v>0</v>
      </c>
      <c r="J447" s="107"/>
      <c r="K447" s="125">
        <f>H447/5</f>
        <v>0</v>
      </c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90"/>
      <c r="C448" s="121"/>
      <c r="D448" s="121"/>
      <c r="E448" s="112"/>
      <c r="F448" s="112"/>
      <c r="G448" s="2"/>
      <c r="H448" s="2"/>
      <c r="I448" s="122"/>
      <c r="J448" s="2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90"/>
      <c r="C449" s="98" t="s">
        <v>399</v>
      </c>
      <c r="D449" s="98" t="s">
        <v>400</v>
      </c>
      <c r="E449" s="99" t="s">
        <v>401</v>
      </c>
      <c r="F449" s="348" t="s">
        <v>402</v>
      </c>
      <c r="G449" s="349"/>
      <c r="H449" s="100" t="s">
        <v>403</v>
      </c>
      <c r="I449" s="100" t="s">
        <v>404</v>
      </c>
      <c r="J449" s="100" t="s">
        <v>405</v>
      </c>
      <c r="K449" s="100" t="s">
        <v>16</v>
      </c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90"/>
      <c r="C450" s="103" t="s">
        <v>431</v>
      </c>
      <c r="D450" s="119"/>
      <c r="E450" s="105">
        <v>0.625</v>
      </c>
      <c r="F450" s="350" t="s">
        <v>432</v>
      </c>
      <c r="G450" s="349"/>
      <c r="H450" s="106">
        <f t="shared" ref="H450:H452" si="20">(($D$450*33.8)*E450)</f>
        <v>0</v>
      </c>
      <c r="I450" s="107"/>
      <c r="J450" s="107">
        <f>H450/33.8</f>
        <v>0</v>
      </c>
      <c r="K450" s="108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90"/>
      <c r="C451" s="109"/>
      <c r="D451" s="109"/>
      <c r="E451" s="105">
        <v>0.25</v>
      </c>
      <c r="F451" s="350" t="s">
        <v>433</v>
      </c>
      <c r="G451" s="349"/>
      <c r="H451" s="106">
        <f t="shared" si="20"/>
        <v>0</v>
      </c>
      <c r="I451" s="107">
        <f>H451/25.6</f>
        <v>0</v>
      </c>
      <c r="J451" s="107"/>
      <c r="K451" s="108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90"/>
      <c r="C452" s="120"/>
      <c r="D452" s="120"/>
      <c r="E452" s="105">
        <v>0.125</v>
      </c>
      <c r="F452" s="350" t="s">
        <v>434</v>
      </c>
      <c r="G452" s="349"/>
      <c r="H452" s="106">
        <f t="shared" si="20"/>
        <v>0</v>
      </c>
      <c r="I452" s="107"/>
      <c r="J452" s="107">
        <f>H452/33.8</f>
        <v>0</v>
      </c>
      <c r="K452" s="108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90"/>
      <c r="C453" s="121"/>
      <c r="D453" s="121"/>
      <c r="E453" s="105"/>
      <c r="F453" s="350"/>
      <c r="G453" s="349"/>
      <c r="H453" s="108"/>
      <c r="I453" s="107"/>
      <c r="J453" s="107"/>
      <c r="K453" s="108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90"/>
      <c r="C454" s="121"/>
      <c r="D454" s="121"/>
      <c r="E454" s="112"/>
      <c r="F454" s="112"/>
      <c r="G454" s="2"/>
      <c r="H454" s="2"/>
      <c r="I454" s="122"/>
      <c r="J454" s="2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90"/>
      <c r="C455" s="98"/>
      <c r="D455" s="98"/>
      <c r="E455" s="99"/>
      <c r="F455" s="348"/>
      <c r="G455" s="349"/>
      <c r="H455" s="100"/>
      <c r="I455" s="100"/>
      <c r="J455" s="100"/>
      <c r="K455" s="100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90"/>
      <c r="C456" s="103"/>
      <c r="D456" s="119"/>
      <c r="E456" s="105"/>
      <c r="F456" s="350"/>
      <c r="G456" s="349"/>
      <c r="H456" s="106"/>
      <c r="I456" s="107"/>
      <c r="J456" s="107"/>
      <c r="K456" s="108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90"/>
      <c r="C457" s="121"/>
      <c r="D457" s="121"/>
      <c r="E457" s="112"/>
      <c r="F457" s="112"/>
      <c r="G457" s="2"/>
      <c r="H457" s="2"/>
      <c r="I457" s="122"/>
      <c r="J457" s="2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90"/>
      <c r="C458" s="98"/>
      <c r="D458" s="98"/>
      <c r="E458" s="99"/>
      <c r="F458" s="348"/>
      <c r="G458" s="349"/>
      <c r="H458" s="100"/>
      <c r="I458" s="100"/>
      <c r="J458" s="100"/>
      <c r="K458" s="100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90"/>
      <c r="C459" s="103"/>
      <c r="D459" s="119"/>
      <c r="E459" s="105"/>
      <c r="F459" s="350"/>
      <c r="G459" s="349"/>
      <c r="H459" s="106"/>
      <c r="I459" s="107"/>
      <c r="J459" s="107"/>
      <c r="K459" s="108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90"/>
      <c r="C460" s="121"/>
      <c r="D460" s="121"/>
      <c r="E460" s="112"/>
      <c r="F460" s="112"/>
      <c r="G460" s="2"/>
      <c r="H460" s="2"/>
      <c r="I460" s="122"/>
      <c r="J460" s="2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90"/>
      <c r="C461" s="98" t="s">
        <v>399</v>
      </c>
      <c r="D461" s="98" t="s">
        <v>400</v>
      </c>
      <c r="E461" s="99" t="s">
        <v>401</v>
      </c>
      <c r="F461" s="348" t="s">
        <v>402</v>
      </c>
      <c r="G461" s="349"/>
      <c r="H461" s="100" t="s">
        <v>403</v>
      </c>
      <c r="I461" s="100" t="s">
        <v>404</v>
      </c>
      <c r="J461" s="100" t="s">
        <v>405</v>
      </c>
      <c r="K461" s="100" t="s">
        <v>16</v>
      </c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90"/>
      <c r="C462" s="103" t="s">
        <v>435</v>
      </c>
      <c r="D462" s="119"/>
      <c r="E462" s="105">
        <v>0.4</v>
      </c>
      <c r="F462" s="350" t="s">
        <v>436</v>
      </c>
      <c r="G462" s="349"/>
      <c r="H462" s="106">
        <f>(($D$462*33.8)*E462)</f>
        <v>0</v>
      </c>
      <c r="I462" s="107"/>
      <c r="J462" s="107">
        <f>H462/33.8</f>
        <v>0</v>
      </c>
      <c r="K462" s="108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90"/>
      <c r="C463" s="121"/>
      <c r="D463" s="121"/>
      <c r="E463" s="112"/>
      <c r="F463" s="112"/>
      <c r="G463" s="2"/>
      <c r="H463" s="2"/>
      <c r="I463" s="122"/>
      <c r="J463" s="2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90"/>
      <c r="C464" s="121" t="s">
        <v>437</v>
      </c>
      <c r="D464" s="121">
        <v>5.4</v>
      </c>
      <c r="E464" s="112"/>
      <c r="F464" s="112"/>
      <c r="G464" s="2"/>
      <c r="H464" s="2"/>
      <c r="I464" s="122"/>
      <c r="J464" s="2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90"/>
      <c r="C465" s="121" t="s">
        <v>438</v>
      </c>
      <c r="D465" s="121">
        <v>2.2000000000000002</v>
      </c>
      <c r="E465" s="112"/>
      <c r="F465" s="112"/>
      <c r="G465" s="2"/>
      <c r="H465" s="2"/>
      <c r="I465" s="122"/>
      <c r="J465" s="2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90"/>
      <c r="C466" s="121" t="s">
        <v>439</v>
      </c>
      <c r="D466" s="121">
        <v>4</v>
      </c>
      <c r="E466" s="112"/>
      <c r="F466" s="112"/>
      <c r="G466" s="2"/>
      <c r="H466" s="2"/>
      <c r="I466" s="122"/>
      <c r="J466" s="2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90"/>
      <c r="C467" s="121" t="s">
        <v>440</v>
      </c>
      <c r="D467" s="121">
        <v>2.2999999999999998</v>
      </c>
      <c r="E467" s="112"/>
      <c r="F467" s="112"/>
      <c r="G467" s="2"/>
      <c r="H467" s="2"/>
      <c r="I467" s="122"/>
      <c r="J467" s="2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90"/>
      <c r="C468" s="121"/>
      <c r="D468" s="121"/>
      <c r="E468" s="112"/>
      <c r="F468" s="112"/>
      <c r="G468" s="2"/>
      <c r="H468" s="2"/>
      <c r="I468" s="122"/>
      <c r="J468" s="2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90"/>
      <c r="C469" s="121"/>
      <c r="D469" s="121"/>
      <c r="E469" s="112"/>
      <c r="F469" s="112"/>
      <c r="G469" s="2"/>
      <c r="H469" s="2"/>
      <c r="I469" s="122"/>
      <c r="J469" s="2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90"/>
      <c r="C470" s="121"/>
      <c r="D470" s="121"/>
      <c r="E470" s="112"/>
      <c r="F470" s="112"/>
      <c r="G470" s="2"/>
      <c r="H470" s="2"/>
      <c r="I470" s="122"/>
      <c r="J470" s="2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90"/>
      <c r="C471" s="121"/>
      <c r="D471" s="121"/>
      <c r="E471" s="112"/>
      <c r="F471" s="112"/>
      <c r="G471" s="2"/>
      <c r="H471" s="2"/>
      <c r="I471" s="122"/>
      <c r="J471" s="2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90"/>
      <c r="C472" s="121"/>
      <c r="D472" s="121"/>
      <c r="E472" s="112"/>
      <c r="F472" s="112"/>
      <c r="G472" s="2"/>
      <c r="H472" s="2"/>
      <c r="I472" s="122"/>
      <c r="J472" s="2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90"/>
      <c r="C473" s="121"/>
      <c r="D473" s="121"/>
      <c r="E473" s="112"/>
      <c r="F473" s="112"/>
      <c r="G473" s="2"/>
      <c r="H473" s="2"/>
      <c r="I473" s="122"/>
      <c r="J473" s="2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90"/>
      <c r="C474" s="121"/>
      <c r="D474" s="121"/>
      <c r="E474" s="112"/>
      <c r="F474" s="112"/>
      <c r="G474" s="2"/>
      <c r="H474" s="2"/>
      <c r="I474" s="122"/>
      <c r="J474" s="2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90"/>
      <c r="C475" s="121"/>
      <c r="D475" s="121"/>
      <c r="E475" s="112"/>
      <c r="F475" s="112"/>
      <c r="G475" s="2"/>
      <c r="H475" s="2"/>
      <c r="I475" s="122"/>
      <c r="J475" s="2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90"/>
      <c r="C476" s="121"/>
      <c r="D476" s="121"/>
      <c r="E476" s="112"/>
      <c r="F476" s="112"/>
      <c r="G476" s="2"/>
      <c r="H476" s="2"/>
      <c r="I476" s="122"/>
      <c r="J476" s="2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90"/>
      <c r="C477" s="121"/>
      <c r="D477" s="121"/>
      <c r="E477" s="112"/>
      <c r="F477" s="112"/>
      <c r="G477" s="2"/>
      <c r="H477" s="2"/>
      <c r="I477" s="122"/>
      <c r="J477" s="2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90"/>
      <c r="C478" s="121"/>
      <c r="D478" s="121"/>
      <c r="E478" s="112"/>
      <c r="F478" s="112"/>
      <c r="G478" s="2"/>
      <c r="H478" s="2"/>
      <c r="I478" s="122"/>
      <c r="J478" s="2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90"/>
      <c r="C479" s="121"/>
      <c r="D479" s="121"/>
      <c r="E479" s="112"/>
      <c r="F479" s="112"/>
      <c r="G479" s="2"/>
      <c r="H479" s="2"/>
      <c r="I479" s="122"/>
      <c r="J479" s="2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90"/>
      <c r="C480" s="121"/>
      <c r="D480" s="121"/>
      <c r="E480" s="112"/>
      <c r="F480" s="112"/>
      <c r="G480" s="2"/>
      <c r="H480" s="2"/>
      <c r="I480" s="122"/>
      <c r="J480" s="2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90"/>
      <c r="C481" s="121"/>
      <c r="D481" s="121"/>
      <c r="E481" s="112"/>
      <c r="F481" s="112"/>
      <c r="G481" s="2"/>
      <c r="H481" s="2"/>
      <c r="I481" s="122"/>
      <c r="J481" s="2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90"/>
      <c r="C482" s="121"/>
      <c r="D482" s="121"/>
      <c r="E482" s="112"/>
      <c r="F482" s="112"/>
      <c r="G482" s="2"/>
      <c r="H482" s="2"/>
      <c r="I482" s="122"/>
      <c r="J482" s="2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90"/>
      <c r="C483" s="121"/>
      <c r="D483" s="121"/>
      <c r="E483" s="112"/>
      <c r="F483" s="112"/>
      <c r="G483" s="2"/>
      <c r="H483" s="2"/>
      <c r="I483" s="122"/>
      <c r="J483" s="2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90"/>
      <c r="C484" s="121"/>
      <c r="D484" s="121"/>
      <c r="E484" s="112"/>
      <c r="F484" s="112"/>
      <c r="G484" s="2"/>
      <c r="H484" s="2"/>
      <c r="I484" s="122"/>
      <c r="J484" s="2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90"/>
      <c r="C485" s="121"/>
      <c r="D485" s="121"/>
      <c r="E485" s="112"/>
      <c r="F485" s="112"/>
      <c r="G485" s="2"/>
      <c r="H485" s="2"/>
      <c r="I485" s="122"/>
      <c r="J485" s="2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90"/>
      <c r="C486" s="121"/>
      <c r="D486" s="121"/>
      <c r="E486" s="112"/>
      <c r="F486" s="112"/>
      <c r="G486" s="2"/>
      <c r="H486" s="2"/>
      <c r="I486" s="122"/>
      <c r="J486" s="2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90"/>
      <c r="C487" s="121"/>
      <c r="D487" s="121"/>
      <c r="E487" s="112"/>
      <c r="F487" s="112"/>
      <c r="G487" s="2"/>
      <c r="H487" s="2"/>
      <c r="I487" s="122"/>
      <c r="J487" s="2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90"/>
      <c r="C488" s="121"/>
      <c r="D488" s="121"/>
      <c r="E488" s="112"/>
      <c r="F488" s="112"/>
      <c r="G488" s="2"/>
      <c r="H488" s="2"/>
      <c r="I488" s="122"/>
      <c r="J488" s="2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90"/>
      <c r="C489" s="121"/>
      <c r="D489" s="121"/>
      <c r="E489" s="112"/>
      <c r="F489" s="112"/>
      <c r="G489" s="2"/>
      <c r="H489" s="2"/>
      <c r="I489" s="122"/>
      <c r="J489" s="2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90"/>
      <c r="C490" s="121"/>
      <c r="D490" s="121"/>
      <c r="E490" s="112"/>
      <c r="F490" s="112"/>
      <c r="G490" s="2"/>
      <c r="H490" s="2"/>
      <c r="I490" s="122"/>
      <c r="J490" s="2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90"/>
      <c r="C491" s="121"/>
      <c r="D491" s="121"/>
      <c r="E491" s="112"/>
      <c r="F491" s="112"/>
      <c r="G491" s="2"/>
      <c r="H491" s="2"/>
      <c r="I491" s="122"/>
      <c r="J491" s="2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90"/>
      <c r="C492" s="121"/>
      <c r="D492" s="121"/>
      <c r="E492" s="112"/>
      <c r="F492" s="112"/>
      <c r="G492" s="2"/>
      <c r="H492" s="2"/>
      <c r="I492" s="122"/>
      <c r="J492" s="2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90"/>
      <c r="C493" s="121"/>
      <c r="D493" s="121"/>
      <c r="E493" s="112"/>
      <c r="F493" s="112"/>
      <c r="G493" s="2"/>
      <c r="H493" s="2"/>
      <c r="I493" s="122"/>
      <c r="J493" s="2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90"/>
      <c r="C494" s="121"/>
      <c r="D494" s="121"/>
      <c r="E494" s="112"/>
      <c r="F494" s="112"/>
      <c r="G494" s="2"/>
      <c r="H494" s="2"/>
      <c r="I494" s="122"/>
      <c r="J494" s="2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90"/>
      <c r="C495" s="121"/>
      <c r="D495" s="121"/>
      <c r="E495" s="112"/>
      <c r="F495" s="112"/>
      <c r="G495" s="2"/>
      <c r="H495" s="2"/>
      <c r="I495" s="122"/>
      <c r="J495" s="2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90"/>
      <c r="C496" s="121"/>
      <c r="D496" s="121"/>
      <c r="E496" s="112"/>
      <c r="F496" s="112"/>
      <c r="G496" s="2"/>
      <c r="H496" s="2"/>
      <c r="I496" s="122"/>
      <c r="J496" s="2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90"/>
      <c r="C497" s="121"/>
      <c r="D497" s="121"/>
      <c r="E497" s="112"/>
      <c r="F497" s="112"/>
      <c r="G497" s="2"/>
      <c r="H497" s="2"/>
      <c r="I497" s="122"/>
      <c r="J497" s="2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90"/>
      <c r="C498" s="121"/>
      <c r="D498" s="121"/>
      <c r="E498" s="112"/>
      <c r="F498" s="112"/>
      <c r="G498" s="2"/>
      <c r="H498" s="2"/>
      <c r="I498" s="122"/>
      <c r="J498" s="2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90"/>
      <c r="C499" s="121"/>
      <c r="D499" s="121"/>
      <c r="E499" s="112"/>
      <c r="F499" s="112"/>
      <c r="G499" s="2"/>
      <c r="H499" s="2"/>
      <c r="I499" s="122"/>
      <c r="J499" s="2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90"/>
      <c r="C500" s="121"/>
      <c r="D500" s="121"/>
      <c r="E500" s="112"/>
      <c r="F500" s="112"/>
      <c r="G500" s="2"/>
      <c r="H500" s="2"/>
      <c r="I500" s="122"/>
      <c r="J500" s="2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90"/>
      <c r="C501" s="121"/>
      <c r="D501" s="121"/>
      <c r="E501" s="112"/>
      <c r="F501" s="112"/>
      <c r="G501" s="2"/>
      <c r="H501" s="2"/>
      <c r="I501" s="122"/>
      <c r="J501" s="2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90"/>
      <c r="C502" s="121"/>
      <c r="D502" s="121"/>
      <c r="E502" s="112"/>
      <c r="F502" s="112"/>
      <c r="G502" s="2"/>
      <c r="H502" s="2"/>
      <c r="I502" s="122"/>
      <c r="J502" s="2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90"/>
      <c r="C503" s="121"/>
      <c r="D503" s="121"/>
      <c r="E503" s="112"/>
      <c r="F503" s="112"/>
      <c r="G503" s="2"/>
      <c r="H503" s="2"/>
      <c r="I503" s="122"/>
      <c r="J503" s="2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90"/>
      <c r="C504" s="121"/>
      <c r="D504" s="121"/>
      <c r="E504" s="112"/>
      <c r="F504" s="112"/>
      <c r="G504" s="2"/>
      <c r="H504" s="2"/>
      <c r="I504" s="122"/>
      <c r="J504" s="2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90"/>
      <c r="C505" s="121"/>
      <c r="D505" s="121"/>
      <c r="E505" s="112"/>
      <c r="F505" s="112"/>
      <c r="G505" s="2"/>
      <c r="H505" s="2"/>
      <c r="I505" s="122"/>
      <c r="J505" s="2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90"/>
      <c r="C506" s="121"/>
      <c r="D506" s="121"/>
      <c r="E506" s="112"/>
      <c r="F506" s="112"/>
      <c r="G506" s="2"/>
      <c r="H506" s="2"/>
      <c r="I506" s="122"/>
      <c r="J506" s="2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90"/>
      <c r="C507" s="121"/>
      <c r="D507" s="121"/>
      <c r="E507" s="112"/>
      <c r="F507" s="112"/>
      <c r="G507" s="2"/>
      <c r="H507" s="2"/>
      <c r="I507" s="122"/>
      <c r="J507" s="2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90"/>
      <c r="C508" s="121"/>
      <c r="D508" s="121"/>
      <c r="E508" s="112"/>
      <c r="F508" s="112"/>
      <c r="G508" s="2"/>
      <c r="H508" s="2"/>
      <c r="I508" s="122"/>
      <c r="J508" s="2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90"/>
      <c r="C509" s="121"/>
      <c r="D509" s="121"/>
      <c r="E509" s="112"/>
      <c r="F509" s="112"/>
      <c r="G509" s="2"/>
      <c r="H509" s="2"/>
      <c r="I509" s="122"/>
      <c r="J509" s="2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90"/>
      <c r="C510" s="121"/>
      <c r="D510" s="121"/>
      <c r="E510" s="112"/>
      <c r="F510" s="112"/>
      <c r="G510" s="2"/>
      <c r="H510" s="2"/>
      <c r="I510" s="122"/>
      <c r="J510" s="2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90"/>
      <c r="C511" s="121"/>
      <c r="D511" s="121"/>
      <c r="E511" s="112"/>
      <c r="F511" s="112"/>
      <c r="G511" s="2"/>
      <c r="H511" s="2"/>
      <c r="I511" s="122"/>
      <c r="J511" s="2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90"/>
      <c r="C512" s="121"/>
      <c r="D512" s="121"/>
      <c r="E512" s="112"/>
      <c r="F512" s="112"/>
      <c r="G512" s="2"/>
      <c r="H512" s="2"/>
      <c r="I512" s="122"/>
      <c r="J512" s="2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90"/>
      <c r="C513" s="121"/>
      <c r="D513" s="121"/>
      <c r="E513" s="112"/>
      <c r="F513" s="112"/>
      <c r="G513" s="2"/>
      <c r="H513" s="2"/>
      <c r="I513" s="122"/>
      <c r="J513" s="2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90"/>
      <c r="C514" s="121"/>
      <c r="D514" s="121"/>
      <c r="E514" s="112"/>
      <c r="F514" s="112"/>
      <c r="G514" s="2"/>
      <c r="H514" s="2"/>
      <c r="I514" s="122"/>
      <c r="J514" s="2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90"/>
      <c r="C515" s="121"/>
      <c r="D515" s="121"/>
      <c r="E515" s="112"/>
      <c r="F515" s="112"/>
      <c r="G515" s="2"/>
      <c r="H515" s="2"/>
      <c r="I515" s="122"/>
      <c r="J515" s="2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90"/>
      <c r="C516" s="121"/>
      <c r="D516" s="121"/>
      <c r="E516" s="112"/>
      <c r="F516" s="112"/>
      <c r="G516" s="2"/>
      <c r="H516" s="2"/>
      <c r="I516" s="122"/>
      <c r="J516" s="2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90"/>
      <c r="C517" s="121"/>
      <c r="D517" s="121"/>
      <c r="E517" s="112"/>
      <c r="F517" s="112"/>
      <c r="G517" s="2"/>
      <c r="H517" s="2"/>
      <c r="I517" s="122"/>
      <c r="J517" s="2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90"/>
      <c r="C518" s="121"/>
      <c r="D518" s="121"/>
      <c r="E518" s="112"/>
      <c r="F518" s="112"/>
      <c r="G518" s="2"/>
      <c r="H518" s="2"/>
      <c r="I518" s="122"/>
      <c r="J518" s="2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90"/>
      <c r="C519" s="121"/>
      <c r="D519" s="121"/>
      <c r="E519" s="112"/>
      <c r="F519" s="112"/>
      <c r="G519" s="2"/>
      <c r="H519" s="2"/>
      <c r="I519" s="122"/>
      <c r="J519" s="2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90"/>
      <c r="C520" s="121"/>
      <c r="D520" s="121"/>
      <c r="E520" s="112"/>
      <c r="F520" s="112"/>
      <c r="G520" s="2"/>
      <c r="H520" s="2"/>
      <c r="I520" s="122"/>
      <c r="J520" s="2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90"/>
      <c r="C521" s="121"/>
      <c r="D521" s="121"/>
      <c r="E521" s="112"/>
      <c r="F521" s="112"/>
      <c r="G521" s="2"/>
      <c r="H521" s="2"/>
      <c r="I521" s="122"/>
      <c r="J521" s="2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90"/>
      <c r="C522" s="121"/>
      <c r="D522" s="121"/>
      <c r="E522" s="112"/>
      <c r="F522" s="112"/>
      <c r="G522" s="2"/>
      <c r="H522" s="2"/>
      <c r="I522" s="122"/>
      <c r="J522" s="2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90"/>
      <c r="C523" s="121"/>
      <c r="D523" s="121"/>
      <c r="E523" s="112"/>
      <c r="F523" s="112"/>
      <c r="G523" s="2"/>
      <c r="H523" s="2"/>
      <c r="I523" s="122"/>
      <c r="J523" s="2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90"/>
      <c r="C524" s="121"/>
      <c r="D524" s="121"/>
      <c r="E524" s="112"/>
      <c r="F524" s="112"/>
      <c r="G524" s="2"/>
      <c r="H524" s="2"/>
      <c r="I524" s="122"/>
      <c r="J524" s="2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90"/>
      <c r="C525" s="121"/>
      <c r="D525" s="121"/>
      <c r="E525" s="112"/>
      <c r="F525" s="112"/>
      <c r="G525" s="2"/>
      <c r="H525" s="2"/>
      <c r="I525" s="122"/>
      <c r="J525" s="2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90"/>
      <c r="C526" s="121"/>
      <c r="D526" s="121"/>
      <c r="E526" s="112"/>
      <c r="F526" s="112"/>
      <c r="G526" s="2"/>
      <c r="H526" s="2"/>
      <c r="I526" s="122"/>
      <c r="J526" s="2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90"/>
      <c r="C527" s="121"/>
      <c r="D527" s="121"/>
      <c r="E527" s="112"/>
      <c r="F527" s="112"/>
      <c r="G527" s="2"/>
      <c r="H527" s="2"/>
      <c r="I527" s="122"/>
      <c r="J527" s="2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90"/>
      <c r="C528" s="121"/>
      <c r="D528" s="121"/>
      <c r="E528" s="112"/>
      <c r="F528" s="112"/>
      <c r="G528" s="2"/>
      <c r="H528" s="2"/>
      <c r="I528" s="122"/>
      <c r="J528" s="2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90"/>
      <c r="C529" s="121"/>
      <c r="D529" s="121"/>
      <c r="E529" s="112"/>
      <c r="F529" s="112"/>
      <c r="G529" s="2"/>
      <c r="H529" s="2"/>
      <c r="I529" s="122"/>
      <c r="J529" s="2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90"/>
      <c r="C530" s="121"/>
      <c r="D530" s="121"/>
      <c r="E530" s="112"/>
      <c r="F530" s="112"/>
      <c r="G530" s="2"/>
      <c r="H530" s="2"/>
      <c r="I530" s="122"/>
      <c r="J530" s="2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90"/>
      <c r="C531" s="121"/>
      <c r="D531" s="121"/>
      <c r="E531" s="112"/>
      <c r="F531" s="112"/>
      <c r="G531" s="2"/>
      <c r="H531" s="2"/>
      <c r="I531" s="122"/>
      <c r="J531" s="2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90"/>
      <c r="C532" s="121"/>
      <c r="D532" s="121"/>
      <c r="E532" s="112"/>
      <c r="F532" s="112"/>
      <c r="G532" s="2"/>
      <c r="H532" s="2"/>
      <c r="I532" s="122"/>
      <c r="J532" s="2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90"/>
      <c r="C533" s="121"/>
      <c r="D533" s="121"/>
      <c r="E533" s="112"/>
      <c r="F533" s="112"/>
      <c r="G533" s="2"/>
      <c r="H533" s="2"/>
      <c r="I533" s="122"/>
      <c r="J533" s="2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90"/>
      <c r="C534" s="121"/>
      <c r="D534" s="121"/>
      <c r="E534" s="112"/>
      <c r="F534" s="112"/>
      <c r="G534" s="2"/>
      <c r="H534" s="2"/>
      <c r="I534" s="122"/>
      <c r="J534" s="2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90"/>
      <c r="C535" s="121"/>
      <c r="D535" s="121"/>
      <c r="E535" s="112"/>
      <c r="F535" s="112"/>
      <c r="G535" s="2"/>
      <c r="H535" s="2"/>
      <c r="I535" s="122"/>
      <c r="J535" s="2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90"/>
      <c r="C536" s="121"/>
      <c r="D536" s="121"/>
      <c r="E536" s="112"/>
      <c r="F536" s="112"/>
      <c r="G536" s="2"/>
      <c r="H536" s="2"/>
      <c r="I536" s="122"/>
      <c r="J536" s="2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90"/>
      <c r="C537" s="121"/>
      <c r="D537" s="121"/>
      <c r="E537" s="112"/>
      <c r="F537" s="112"/>
      <c r="G537" s="2"/>
      <c r="H537" s="2"/>
      <c r="I537" s="122"/>
      <c r="J537" s="2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90"/>
      <c r="C538" s="121"/>
      <c r="D538" s="121"/>
      <c r="E538" s="112"/>
      <c r="F538" s="112"/>
      <c r="G538" s="2"/>
      <c r="H538" s="2"/>
      <c r="I538" s="122"/>
      <c r="J538" s="2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90"/>
      <c r="C539" s="121"/>
      <c r="D539" s="121"/>
      <c r="E539" s="112"/>
      <c r="F539" s="112"/>
      <c r="G539" s="2"/>
      <c r="H539" s="2"/>
      <c r="I539" s="122"/>
      <c r="J539" s="2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90"/>
      <c r="C540" s="121"/>
      <c r="D540" s="121"/>
      <c r="E540" s="112"/>
      <c r="F540" s="112"/>
      <c r="G540" s="2"/>
      <c r="H540" s="2"/>
      <c r="I540" s="122"/>
      <c r="J540" s="2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90"/>
      <c r="C541" s="121"/>
      <c r="D541" s="121"/>
      <c r="E541" s="112"/>
      <c r="F541" s="112"/>
      <c r="G541" s="2"/>
      <c r="H541" s="2"/>
      <c r="I541" s="122"/>
      <c r="J541" s="2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90"/>
      <c r="C542" s="121"/>
      <c r="D542" s="121"/>
      <c r="E542" s="112"/>
      <c r="F542" s="112"/>
      <c r="G542" s="2"/>
      <c r="H542" s="2"/>
      <c r="I542" s="122"/>
      <c r="J542" s="2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90"/>
      <c r="C543" s="121"/>
      <c r="D543" s="121"/>
      <c r="E543" s="112"/>
      <c r="F543" s="112"/>
      <c r="G543" s="2"/>
      <c r="H543" s="2"/>
      <c r="I543" s="122"/>
      <c r="J543" s="2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90"/>
      <c r="C544" s="121"/>
      <c r="D544" s="121"/>
      <c r="E544" s="112"/>
      <c r="F544" s="112"/>
      <c r="G544" s="2"/>
      <c r="H544" s="2"/>
      <c r="I544" s="122"/>
      <c r="J544" s="2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90"/>
      <c r="C545" s="121"/>
      <c r="D545" s="121"/>
      <c r="E545" s="112"/>
      <c r="F545" s="112"/>
      <c r="G545" s="2"/>
      <c r="H545" s="2"/>
      <c r="I545" s="122"/>
      <c r="J545" s="2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90"/>
      <c r="C546" s="121"/>
      <c r="D546" s="121"/>
      <c r="E546" s="112"/>
      <c r="F546" s="112"/>
      <c r="G546" s="2"/>
      <c r="H546" s="2"/>
      <c r="I546" s="122"/>
      <c r="J546" s="2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90"/>
      <c r="C547" s="121"/>
      <c r="D547" s="121"/>
      <c r="E547" s="112"/>
      <c r="F547" s="112"/>
      <c r="G547" s="2"/>
      <c r="H547" s="2"/>
      <c r="I547" s="122"/>
      <c r="J547" s="2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90"/>
      <c r="C548" s="121"/>
      <c r="D548" s="121"/>
      <c r="E548" s="112"/>
      <c r="F548" s="112"/>
      <c r="G548" s="2"/>
      <c r="H548" s="2"/>
      <c r="I548" s="122"/>
      <c r="J548" s="2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90"/>
      <c r="C549" s="121"/>
      <c r="D549" s="121"/>
      <c r="E549" s="112"/>
      <c r="F549" s="112"/>
      <c r="G549" s="2"/>
      <c r="H549" s="2"/>
      <c r="I549" s="122"/>
      <c r="J549" s="2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90"/>
      <c r="C550" s="121"/>
      <c r="D550" s="121"/>
      <c r="E550" s="112"/>
      <c r="F550" s="112"/>
      <c r="G550" s="2"/>
      <c r="H550" s="2"/>
      <c r="I550" s="122"/>
      <c r="J550" s="2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90"/>
      <c r="C551" s="121"/>
      <c r="D551" s="121"/>
      <c r="E551" s="112"/>
      <c r="F551" s="112"/>
      <c r="G551" s="2"/>
      <c r="H551" s="2"/>
      <c r="I551" s="122"/>
      <c r="J551" s="2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90"/>
      <c r="C552" s="121"/>
      <c r="D552" s="121"/>
      <c r="E552" s="112"/>
      <c r="F552" s="112"/>
      <c r="G552" s="2"/>
      <c r="H552" s="2"/>
      <c r="I552" s="122"/>
      <c r="J552" s="2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90"/>
      <c r="C553" s="121"/>
      <c r="D553" s="121"/>
      <c r="E553" s="112"/>
      <c r="F553" s="112"/>
      <c r="G553" s="2"/>
      <c r="H553" s="2"/>
      <c r="I553" s="122"/>
      <c r="J553" s="2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90"/>
      <c r="C554" s="121"/>
      <c r="D554" s="121"/>
      <c r="E554" s="112"/>
      <c r="F554" s="112"/>
      <c r="G554" s="2"/>
      <c r="H554" s="2"/>
      <c r="I554" s="122"/>
      <c r="J554" s="2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90"/>
      <c r="C555" s="121"/>
      <c r="D555" s="121"/>
      <c r="E555" s="112"/>
      <c r="F555" s="112"/>
      <c r="G555" s="2"/>
      <c r="H555" s="2"/>
      <c r="I555" s="122"/>
      <c r="J555" s="2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90"/>
      <c r="C556" s="121"/>
      <c r="D556" s="121"/>
      <c r="E556" s="112"/>
      <c r="F556" s="112"/>
      <c r="G556" s="2"/>
      <c r="H556" s="2"/>
      <c r="I556" s="122"/>
      <c r="J556" s="2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90"/>
      <c r="C557" s="121"/>
      <c r="D557" s="121"/>
      <c r="E557" s="112"/>
      <c r="F557" s="112"/>
      <c r="G557" s="2"/>
      <c r="H557" s="2"/>
      <c r="I557" s="122"/>
      <c r="J557" s="2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90"/>
      <c r="C558" s="121"/>
      <c r="D558" s="121"/>
      <c r="E558" s="112"/>
      <c r="F558" s="112"/>
      <c r="G558" s="2"/>
      <c r="H558" s="2"/>
      <c r="I558" s="122"/>
      <c r="J558" s="2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90"/>
      <c r="C559" s="121"/>
      <c r="D559" s="121"/>
      <c r="E559" s="112"/>
      <c r="F559" s="112"/>
      <c r="G559" s="2"/>
      <c r="H559" s="2"/>
      <c r="I559" s="122"/>
      <c r="J559" s="2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90"/>
      <c r="C560" s="121"/>
      <c r="D560" s="121"/>
      <c r="E560" s="112"/>
      <c r="F560" s="112"/>
      <c r="G560" s="2"/>
      <c r="H560" s="2"/>
      <c r="I560" s="122"/>
      <c r="J560" s="2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90"/>
      <c r="C561" s="121"/>
      <c r="D561" s="121"/>
      <c r="E561" s="112"/>
      <c r="F561" s="112"/>
      <c r="G561" s="2"/>
      <c r="H561" s="2"/>
      <c r="I561" s="122"/>
      <c r="J561" s="2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90"/>
      <c r="C562" s="121"/>
      <c r="D562" s="121"/>
      <c r="E562" s="112"/>
      <c r="F562" s="112"/>
      <c r="G562" s="2"/>
      <c r="H562" s="2"/>
      <c r="I562" s="122"/>
      <c r="J562" s="2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90"/>
      <c r="C563" s="121"/>
      <c r="D563" s="121"/>
      <c r="E563" s="112"/>
      <c r="F563" s="112"/>
      <c r="G563" s="2"/>
      <c r="H563" s="2"/>
      <c r="I563" s="122"/>
      <c r="J563" s="2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90"/>
      <c r="C564" s="121"/>
      <c r="D564" s="121"/>
      <c r="E564" s="112"/>
      <c r="F564" s="112"/>
      <c r="G564" s="2"/>
      <c r="H564" s="2"/>
      <c r="I564" s="122"/>
      <c r="J564" s="2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90"/>
      <c r="C565" s="121"/>
      <c r="D565" s="121"/>
      <c r="E565" s="112"/>
      <c r="F565" s="112"/>
      <c r="G565" s="2"/>
      <c r="H565" s="2"/>
      <c r="I565" s="122"/>
      <c r="J565" s="2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90"/>
      <c r="C566" s="121"/>
      <c r="D566" s="121"/>
      <c r="E566" s="112"/>
      <c r="F566" s="112"/>
      <c r="G566" s="2"/>
      <c r="H566" s="2"/>
      <c r="I566" s="122"/>
      <c r="J566" s="2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90"/>
      <c r="C567" s="121"/>
      <c r="D567" s="121"/>
      <c r="E567" s="112"/>
      <c r="F567" s="112"/>
      <c r="G567" s="2"/>
      <c r="H567" s="2"/>
      <c r="I567" s="122"/>
      <c r="J567" s="2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90"/>
      <c r="C568" s="121"/>
      <c r="D568" s="121"/>
      <c r="E568" s="112"/>
      <c r="F568" s="112"/>
      <c r="G568" s="2"/>
      <c r="H568" s="2"/>
      <c r="I568" s="122"/>
      <c r="J568" s="2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90"/>
      <c r="C569" s="121"/>
      <c r="D569" s="121"/>
      <c r="E569" s="112"/>
      <c r="F569" s="112"/>
      <c r="G569" s="2"/>
      <c r="H569" s="2"/>
      <c r="I569" s="122"/>
      <c r="J569" s="2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90"/>
      <c r="C570" s="121"/>
      <c r="D570" s="121"/>
      <c r="E570" s="112"/>
      <c r="F570" s="112"/>
      <c r="G570" s="2"/>
      <c r="H570" s="2"/>
      <c r="I570" s="122"/>
      <c r="J570" s="2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90"/>
      <c r="C571" s="121"/>
      <c r="D571" s="121"/>
      <c r="E571" s="112"/>
      <c r="F571" s="112"/>
      <c r="G571" s="2"/>
      <c r="H571" s="2"/>
      <c r="I571" s="122"/>
      <c r="J571" s="2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90"/>
      <c r="C572" s="121"/>
      <c r="D572" s="121"/>
      <c r="E572" s="112"/>
      <c r="F572" s="112"/>
      <c r="G572" s="2"/>
      <c r="H572" s="2"/>
      <c r="I572" s="122"/>
      <c r="J572" s="2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90"/>
      <c r="C573" s="121"/>
      <c r="D573" s="121"/>
      <c r="E573" s="112"/>
      <c r="F573" s="112"/>
      <c r="G573" s="2"/>
      <c r="H573" s="2"/>
      <c r="I573" s="122"/>
      <c r="J573" s="2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90"/>
      <c r="C574" s="121"/>
      <c r="D574" s="121"/>
      <c r="E574" s="112"/>
      <c r="F574" s="112"/>
      <c r="G574" s="2"/>
      <c r="H574" s="2"/>
      <c r="I574" s="122"/>
      <c r="J574" s="2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90"/>
      <c r="C575" s="121"/>
      <c r="D575" s="121"/>
      <c r="E575" s="112"/>
      <c r="F575" s="112"/>
      <c r="G575" s="2"/>
      <c r="H575" s="2"/>
      <c r="I575" s="122"/>
      <c r="J575" s="2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90"/>
      <c r="C576" s="121"/>
      <c r="D576" s="121"/>
      <c r="E576" s="112"/>
      <c r="F576" s="112"/>
      <c r="G576" s="2"/>
      <c r="H576" s="2"/>
      <c r="I576" s="122"/>
      <c r="J576" s="2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90"/>
      <c r="C577" s="121"/>
      <c r="D577" s="121"/>
      <c r="E577" s="112"/>
      <c r="F577" s="112"/>
      <c r="G577" s="2"/>
      <c r="H577" s="2"/>
      <c r="I577" s="122"/>
      <c r="J577" s="2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90"/>
      <c r="C578" s="121"/>
      <c r="D578" s="121"/>
      <c r="E578" s="112"/>
      <c r="F578" s="112"/>
      <c r="G578" s="2"/>
      <c r="H578" s="2"/>
      <c r="I578" s="122"/>
      <c r="J578" s="2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90"/>
      <c r="C579" s="121"/>
      <c r="D579" s="121"/>
      <c r="E579" s="112"/>
      <c r="F579" s="112"/>
      <c r="G579" s="2"/>
      <c r="H579" s="2"/>
      <c r="I579" s="122"/>
      <c r="J579" s="2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90"/>
      <c r="C580" s="121"/>
      <c r="D580" s="121"/>
      <c r="E580" s="112"/>
      <c r="F580" s="112"/>
      <c r="G580" s="2"/>
      <c r="H580" s="2"/>
      <c r="I580" s="122"/>
      <c r="J580" s="2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90"/>
      <c r="C581" s="121"/>
      <c r="D581" s="121"/>
      <c r="E581" s="112"/>
      <c r="F581" s="112"/>
      <c r="G581" s="2"/>
      <c r="H581" s="2"/>
      <c r="I581" s="122"/>
      <c r="J581" s="2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90"/>
      <c r="C582" s="121"/>
      <c r="D582" s="121"/>
      <c r="E582" s="112"/>
      <c r="F582" s="112"/>
      <c r="G582" s="2"/>
      <c r="H582" s="2"/>
      <c r="I582" s="122"/>
      <c r="J582" s="2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90"/>
      <c r="C583" s="121"/>
      <c r="D583" s="121"/>
      <c r="E583" s="112"/>
      <c r="F583" s="112"/>
      <c r="G583" s="2"/>
      <c r="H583" s="2"/>
      <c r="I583" s="122"/>
      <c r="J583" s="2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90"/>
      <c r="C584" s="121"/>
      <c r="D584" s="121"/>
      <c r="E584" s="112"/>
      <c r="F584" s="112"/>
      <c r="G584" s="2"/>
      <c r="H584" s="2"/>
      <c r="I584" s="122"/>
      <c r="J584" s="2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90"/>
      <c r="C585" s="121"/>
      <c r="D585" s="121"/>
      <c r="E585" s="112"/>
      <c r="F585" s="112"/>
      <c r="G585" s="2"/>
      <c r="H585" s="2"/>
      <c r="I585" s="122"/>
      <c r="J585" s="2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90"/>
      <c r="C586" s="121"/>
      <c r="D586" s="121"/>
      <c r="E586" s="112"/>
      <c r="F586" s="112"/>
      <c r="G586" s="2"/>
      <c r="H586" s="2"/>
      <c r="I586" s="122"/>
      <c r="J586" s="2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90"/>
      <c r="C587" s="121"/>
      <c r="D587" s="121"/>
      <c r="E587" s="112"/>
      <c r="F587" s="112"/>
      <c r="G587" s="2"/>
      <c r="H587" s="2"/>
      <c r="I587" s="122"/>
      <c r="J587" s="2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90"/>
      <c r="C588" s="121"/>
      <c r="D588" s="121"/>
      <c r="E588" s="112"/>
      <c r="F588" s="112"/>
      <c r="G588" s="2"/>
      <c r="H588" s="2"/>
      <c r="I588" s="122"/>
      <c r="J588" s="2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90"/>
      <c r="C589" s="121"/>
      <c r="D589" s="121"/>
      <c r="E589" s="112"/>
      <c r="F589" s="112"/>
      <c r="G589" s="2"/>
      <c r="H589" s="2"/>
      <c r="I589" s="122"/>
      <c r="J589" s="2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1"/>
      <c r="C590" s="2"/>
      <c r="D590" s="2"/>
      <c r="E590" s="2"/>
      <c r="F590" s="2"/>
      <c r="G590" s="2"/>
      <c r="H590" s="2"/>
      <c r="I590" s="1"/>
      <c r="J590" s="2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1"/>
      <c r="C591" s="2"/>
      <c r="D591" s="2"/>
      <c r="E591" s="2"/>
      <c r="F591" s="2"/>
      <c r="G591" s="2"/>
      <c r="H591" s="2"/>
      <c r="I591" s="1"/>
      <c r="J591" s="2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1"/>
      <c r="C592" s="2"/>
      <c r="D592" s="2"/>
      <c r="E592" s="2"/>
      <c r="F592" s="2"/>
      <c r="G592" s="2"/>
      <c r="H592" s="2"/>
      <c r="I592" s="1"/>
      <c r="J592" s="2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1"/>
      <c r="C593" s="2"/>
      <c r="D593" s="2"/>
      <c r="E593" s="2"/>
      <c r="F593" s="2"/>
      <c r="G593" s="2"/>
      <c r="H593" s="2"/>
      <c r="I593" s="1"/>
      <c r="J593" s="2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1"/>
      <c r="C594" s="2"/>
      <c r="D594" s="2"/>
      <c r="E594" s="2"/>
      <c r="F594" s="2"/>
      <c r="G594" s="2"/>
      <c r="H594" s="2"/>
      <c r="I594" s="1"/>
      <c r="J594" s="2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1"/>
      <c r="C595" s="2"/>
      <c r="D595" s="2"/>
      <c r="E595" s="2"/>
      <c r="F595" s="2"/>
      <c r="G595" s="2"/>
      <c r="H595" s="2"/>
      <c r="I595" s="1"/>
      <c r="J595" s="2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1"/>
      <c r="C596" s="2"/>
      <c r="D596" s="2"/>
      <c r="E596" s="2"/>
      <c r="F596" s="2"/>
      <c r="G596" s="2"/>
      <c r="H596" s="2"/>
      <c r="I596" s="1"/>
      <c r="J596" s="2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1"/>
      <c r="C597" s="2"/>
      <c r="D597" s="2"/>
      <c r="E597" s="2"/>
      <c r="F597" s="2"/>
      <c r="G597" s="2"/>
      <c r="H597" s="2"/>
      <c r="I597" s="1"/>
      <c r="J597" s="2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1"/>
      <c r="C598" s="2"/>
      <c r="D598" s="2"/>
      <c r="E598" s="2"/>
      <c r="F598" s="2"/>
      <c r="G598" s="2"/>
      <c r="H598" s="2"/>
      <c r="I598" s="1"/>
      <c r="J598" s="2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1"/>
      <c r="C599" s="2"/>
      <c r="D599" s="2"/>
      <c r="E599" s="2"/>
      <c r="F599" s="2"/>
      <c r="G599" s="2"/>
      <c r="H599" s="2"/>
      <c r="I599" s="1"/>
      <c r="J599" s="2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1"/>
      <c r="C600" s="2"/>
      <c r="D600" s="2"/>
      <c r="E600" s="2"/>
      <c r="F600" s="2"/>
      <c r="G600" s="2"/>
      <c r="H600" s="2"/>
      <c r="I600" s="1"/>
      <c r="J600" s="2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1"/>
      <c r="C601" s="2"/>
      <c r="D601" s="2"/>
      <c r="E601" s="2"/>
      <c r="F601" s="2"/>
      <c r="G601" s="2"/>
      <c r="H601" s="2"/>
      <c r="I601" s="1"/>
      <c r="J601" s="2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1"/>
      <c r="C602" s="2"/>
      <c r="D602" s="2"/>
      <c r="E602" s="2"/>
      <c r="F602" s="2"/>
      <c r="G602" s="2"/>
      <c r="H602" s="2"/>
      <c r="I602" s="1"/>
      <c r="J602" s="2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1"/>
      <c r="C603" s="2"/>
      <c r="D603" s="2"/>
      <c r="E603" s="2"/>
      <c r="F603" s="2"/>
      <c r="G603" s="2"/>
      <c r="H603" s="2"/>
      <c r="I603" s="1"/>
      <c r="J603" s="2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1"/>
      <c r="C604" s="2"/>
      <c r="D604" s="2"/>
      <c r="E604" s="2"/>
      <c r="F604" s="2"/>
      <c r="G604" s="2"/>
      <c r="H604" s="2"/>
      <c r="I604" s="1"/>
      <c r="J604" s="2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1"/>
      <c r="C605" s="2"/>
      <c r="D605" s="2"/>
      <c r="E605" s="2"/>
      <c r="F605" s="2"/>
      <c r="G605" s="2"/>
      <c r="H605" s="2"/>
      <c r="I605" s="1"/>
      <c r="J605" s="2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1"/>
      <c r="C606" s="2"/>
      <c r="D606" s="2"/>
      <c r="E606" s="2"/>
      <c r="F606" s="2"/>
      <c r="G606" s="2"/>
      <c r="H606" s="2"/>
      <c r="I606" s="1"/>
      <c r="J606" s="2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1"/>
      <c r="C607" s="2"/>
      <c r="D607" s="2"/>
      <c r="E607" s="2"/>
      <c r="F607" s="2"/>
      <c r="G607" s="2"/>
      <c r="H607" s="2"/>
      <c r="I607" s="1"/>
      <c r="J607" s="2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1"/>
      <c r="C608" s="2"/>
      <c r="D608" s="2"/>
      <c r="E608" s="2"/>
      <c r="F608" s="2"/>
      <c r="G608" s="2"/>
      <c r="H608" s="2"/>
      <c r="I608" s="1"/>
      <c r="J608" s="2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1"/>
      <c r="C609" s="2"/>
      <c r="D609" s="2"/>
      <c r="E609" s="2"/>
      <c r="F609" s="2"/>
      <c r="G609" s="2"/>
      <c r="H609" s="2"/>
      <c r="I609" s="1"/>
      <c r="J609" s="2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1"/>
      <c r="C610" s="2"/>
      <c r="D610" s="2"/>
      <c r="E610" s="2"/>
      <c r="F610" s="2"/>
      <c r="G610" s="2"/>
      <c r="H610" s="2"/>
      <c r="I610" s="1"/>
      <c r="J610" s="2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1"/>
      <c r="C611" s="2"/>
      <c r="D611" s="2"/>
      <c r="E611" s="2"/>
      <c r="F611" s="2"/>
      <c r="G611" s="2"/>
      <c r="H611" s="2"/>
      <c r="I611" s="1"/>
      <c r="J611" s="2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1"/>
      <c r="C612" s="2"/>
      <c r="D612" s="2"/>
      <c r="E612" s="2"/>
      <c r="F612" s="2"/>
      <c r="G612" s="2"/>
      <c r="H612" s="2"/>
      <c r="I612" s="1"/>
      <c r="J612" s="2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1"/>
      <c r="C613" s="2"/>
      <c r="D613" s="2"/>
      <c r="E613" s="2"/>
      <c r="F613" s="2"/>
      <c r="G613" s="2"/>
      <c r="H613" s="2"/>
      <c r="I613" s="1"/>
      <c r="J613" s="2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1"/>
      <c r="C614" s="2"/>
      <c r="D614" s="2"/>
      <c r="E614" s="2"/>
      <c r="F614" s="2"/>
      <c r="G614" s="2"/>
      <c r="H614" s="2"/>
      <c r="I614" s="1"/>
      <c r="J614" s="2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1"/>
      <c r="C615" s="2"/>
      <c r="D615" s="2"/>
      <c r="E615" s="2"/>
      <c r="F615" s="2"/>
      <c r="G615" s="2"/>
      <c r="H615" s="2"/>
      <c r="I615" s="1"/>
      <c r="J615" s="2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1"/>
      <c r="C616" s="2"/>
      <c r="D616" s="2"/>
      <c r="E616" s="2"/>
      <c r="F616" s="2"/>
      <c r="G616" s="2"/>
      <c r="H616" s="2"/>
      <c r="I616" s="1"/>
      <c r="J616" s="2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1"/>
      <c r="C617" s="2"/>
      <c r="D617" s="2"/>
      <c r="E617" s="2"/>
      <c r="F617" s="2"/>
      <c r="G617" s="2"/>
      <c r="H617" s="2"/>
      <c r="I617" s="1"/>
      <c r="J617" s="2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1"/>
      <c r="C618" s="2"/>
      <c r="D618" s="2"/>
      <c r="E618" s="2"/>
      <c r="F618" s="2"/>
      <c r="G618" s="2"/>
      <c r="H618" s="2"/>
      <c r="I618" s="1"/>
      <c r="J618" s="2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1"/>
      <c r="C619" s="2"/>
      <c r="D619" s="2"/>
      <c r="E619" s="2"/>
      <c r="F619" s="2"/>
      <c r="G619" s="2"/>
      <c r="H619" s="2"/>
      <c r="I619" s="1"/>
      <c r="J619" s="2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1"/>
      <c r="C620" s="2"/>
      <c r="D620" s="2"/>
      <c r="E620" s="2"/>
      <c r="F620" s="2"/>
      <c r="G620" s="2"/>
      <c r="H620" s="2"/>
      <c r="I620" s="1"/>
      <c r="J620" s="2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1"/>
      <c r="C621" s="2"/>
      <c r="D621" s="2"/>
      <c r="E621" s="2"/>
      <c r="F621" s="2"/>
      <c r="G621" s="2"/>
      <c r="H621" s="2"/>
      <c r="I621" s="1"/>
      <c r="J621" s="2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1"/>
      <c r="C622" s="2"/>
      <c r="D622" s="2"/>
      <c r="E622" s="2"/>
      <c r="F622" s="2"/>
      <c r="G622" s="2"/>
      <c r="H622" s="2"/>
      <c r="I622" s="1"/>
      <c r="J622" s="2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1"/>
      <c r="C623" s="2"/>
      <c r="D623" s="2"/>
      <c r="E623" s="2"/>
      <c r="F623" s="2"/>
      <c r="G623" s="2"/>
      <c r="H623" s="2"/>
      <c r="I623" s="1"/>
      <c r="J623" s="2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1"/>
      <c r="C624" s="2"/>
      <c r="D624" s="2"/>
      <c r="E624" s="2"/>
      <c r="F624" s="2"/>
      <c r="G624" s="2"/>
      <c r="H624" s="2"/>
      <c r="I624" s="1"/>
      <c r="J624" s="2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1"/>
      <c r="C625" s="2"/>
      <c r="D625" s="2"/>
      <c r="E625" s="2"/>
      <c r="F625" s="2"/>
      <c r="G625" s="2"/>
      <c r="H625" s="2"/>
      <c r="I625" s="1"/>
      <c r="J625" s="2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1"/>
      <c r="C626" s="2"/>
      <c r="D626" s="2"/>
      <c r="E626" s="2"/>
      <c r="F626" s="2"/>
      <c r="G626" s="2"/>
      <c r="H626" s="2"/>
      <c r="I626" s="1"/>
      <c r="J626" s="2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1"/>
      <c r="C627" s="2"/>
      <c r="D627" s="2"/>
      <c r="E627" s="2"/>
      <c r="F627" s="2"/>
      <c r="G627" s="2"/>
      <c r="H627" s="2"/>
      <c r="I627" s="1"/>
      <c r="J627" s="2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1"/>
      <c r="C628" s="2"/>
      <c r="D628" s="2"/>
      <c r="E628" s="2"/>
      <c r="F628" s="2"/>
      <c r="G628" s="2"/>
      <c r="H628" s="2"/>
      <c r="I628" s="1"/>
      <c r="J628" s="2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1"/>
      <c r="C629" s="2"/>
      <c r="D629" s="2"/>
      <c r="E629" s="2"/>
      <c r="F629" s="2"/>
      <c r="G629" s="2"/>
      <c r="H629" s="2"/>
      <c r="I629" s="1"/>
      <c r="J629" s="2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1"/>
      <c r="C630" s="2"/>
      <c r="D630" s="2"/>
      <c r="E630" s="2"/>
      <c r="F630" s="2"/>
      <c r="G630" s="2"/>
      <c r="H630" s="2"/>
      <c r="I630" s="1"/>
      <c r="J630" s="2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1"/>
      <c r="C631" s="2"/>
      <c r="D631" s="2"/>
      <c r="E631" s="2"/>
      <c r="F631" s="2"/>
      <c r="G631" s="2"/>
      <c r="H631" s="2"/>
      <c r="I631" s="1"/>
      <c r="J631" s="2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1"/>
      <c r="C632" s="2"/>
      <c r="D632" s="2"/>
      <c r="E632" s="2"/>
      <c r="F632" s="2"/>
      <c r="G632" s="2"/>
      <c r="H632" s="2"/>
      <c r="I632" s="1"/>
      <c r="J632" s="2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1"/>
      <c r="C633" s="2"/>
      <c r="D633" s="2"/>
      <c r="E633" s="2"/>
      <c r="F633" s="2"/>
      <c r="G633" s="2"/>
      <c r="H633" s="2"/>
      <c r="I633" s="1"/>
      <c r="J633" s="2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1"/>
      <c r="C634" s="2"/>
      <c r="D634" s="2"/>
      <c r="E634" s="2"/>
      <c r="F634" s="2"/>
      <c r="G634" s="2"/>
      <c r="H634" s="2"/>
      <c r="I634" s="1"/>
      <c r="J634" s="2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1"/>
      <c r="C635" s="2"/>
      <c r="D635" s="2"/>
      <c r="E635" s="2"/>
      <c r="F635" s="2"/>
      <c r="G635" s="2"/>
      <c r="H635" s="2"/>
      <c r="I635" s="1"/>
      <c r="J635" s="2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1"/>
      <c r="C636" s="2"/>
      <c r="D636" s="2"/>
      <c r="E636" s="2"/>
      <c r="F636" s="2"/>
      <c r="G636" s="2"/>
      <c r="H636" s="2"/>
      <c r="I636" s="1"/>
      <c r="J636" s="2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1"/>
      <c r="C637" s="2"/>
      <c r="D637" s="2"/>
      <c r="E637" s="2"/>
      <c r="F637" s="2"/>
      <c r="G637" s="2"/>
      <c r="H637" s="2"/>
      <c r="I637" s="1"/>
      <c r="J637" s="2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1"/>
      <c r="C638" s="2"/>
      <c r="D638" s="2"/>
      <c r="E638" s="2"/>
      <c r="F638" s="2"/>
      <c r="G638" s="2"/>
      <c r="H638" s="2"/>
      <c r="I638" s="1"/>
      <c r="J638" s="2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1"/>
      <c r="C639" s="2"/>
      <c r="D639" s="2"/>
      <c r="E639" s="2"/>
      <c r="F639" s="2"/>
      <c r="G639" s="2"/>
      <c r="H639" s="2"/>
      <c r="I639" s="1"/>
      <c r="J639" s="2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1"/>
      <c r="C640" s="2"/>
      <c r="D640" s="2"/>
      <c r="E640" s="2"/>
      <c r="F640" s="2"/>
      <c r="G640" s="2"/>
      <c r="H640" s="2"/>
      <c r="I640" s="1"/>
      <c r="J640" s="2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1"/>
      <c r="C641" s="2"/>
      <c r="D641" s="2"/>
      <c r="E641" s="2"/>
      <c r="F641" s="2"/>
      <c r="G641" s="2"/>
      <c r="H641" s="2"/>
      <c r="I641" s="1"/>
      <c r="J641" s="2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1"/>
      <c r="C642" s="2"/>
      <c r="D642" s="2"/>
      <c r="E642" s="2"/>
      <c r="F642" s="2"/>
      <c r="G642" s="2"/>
      <c r="H642" s="2"/>
      <c r="I642" s="1"/>
      <c r="J642" s="2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1"/>
      <c r="C643" s="2"/>
      <c r="D643" s="2"/>
      <c r="E643" s="2"/>
      <c r="F643" s="2"/>
      <c r="G643" s="2"/>
      <c r="H643" s="2"/>
      <c r="I643" s="1"/>
      <c r="J643" s="2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1"/>
      <c r="C644" s="2"/>
      <c r="D644" s="2"/>
      <c r="E644" s="2"/>
      <c r="F644" s="2"/>
      <c r="G644" s="2"/>
      <c r="H644" s="2"/>
      <c r="I644" s="1"/>
      <c r="J644" s="2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1"/>
      <c r="C645" s="2"/>
      <c r="D645" s="2"/>
      <c r="E645" s="2"/>
      <c r="F645" s="2"/>
      <c r="G645" s="2"/>
      <c r="H645" s="2"/>
      <c r="I645" s="1"/>
      <c r="J645" s="2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1"/>
      <c r="C646" s="2"/>
      <c r="D646" s="2"/>
      <c r="E646" s="2"/>
      <c r="F646" s="2"/>
      <c r="G646" s="2"/>
      <c r="H646" s="2"/>
      <c r="I646" s="1"/>
      <c r="J646" s="2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1"/>
      <c r="C647" s="2"/>
      <c r="D647" s="2"/>
      <c r="E647" s="2"/>
      <c r="F647" s="2"/>
      <c r="G647" s="2"/>
      <c r="H647" s="2"/>
      <c r="I647" s="1"/>
      <c r="J647" s="2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1"/>
      <c r="C648" s="2"/>
      <c r="D648" s="2"/>
      <c r="E648" s="2"/>
      <c r="F648" s="2"/>
      <c r="G648" s="2"/>
      <c r="H648" s="2"/>
      <c r="I648" s="1"/>
      <c r="J648" s="2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1"/>
      <c r="C649" s="2"/>
      <c r="D649" s="2"/>
      <c r="E649" s="2"/>
      <c r="F649" s="2"/>
      <c r="G649" s="2"/>
      <c r="H649" s="2"/>
      <c r="I649" s="1"/>
      <c r="J649" s="2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1"/>
      <c r="C650" s="2"/>
      <c r="D650" s="2"/>
      <c r="E650" s="2"/>
      <c r="F650" s="2"/>
      <c r="G650" s="2"/>
      <c r="H650" s="2"/>
      <c r="I650" s="1"/>
      <c r="J650" s="2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1"/>
      <c r="C651" s="2"/>
      <c r="D651" s="2"/>
      <c r="E651" s="2"/>
      <c r="F651" s="2"/>
      <c r="G651" s="2"/>
      <c r="H651" s="2"/>
      <c r="I651" s="1"/>
      <c r="J651" s="2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1"/>
      <c r="C652" s="2"/>
      <c r="D652" s="2"/>
      <c r="E652" s="2"/>
      <c r="F652" s="2"/>
      <c r="G652" s="2"/>
      <c r="H652" s="2"/>
      <c r="I652" s="1"/>
      <c r="J652" s="2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1"/>
      <c r="C653" s="2"/>
      <c r="D653" s="2"/>
      <c r="E653" s="2"/>
      <c r="F653" s="2"/>
      <c r="G653" s="2"/>
      <c r="H653" s="2"/>
      <c r="I653" s="1"/>
      <c r="J653" s="2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1"/>
      <c r="C654" s="2"/>
      <c r="D654" s="2"/>
      <c r="E654" s="2"/>
      <c r="F654" s="2"/>
      <c r="G654" s="2"/>
      <c r="H654" s="2"/>
      <c r="I654" s="1"/>
      <c r="J654" s="2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1"/>
      <c r="C655" s="2"/>
      <c r="D655" s="2"/>
      <c r="E655" s="2"/>
      <c r="F655" s="2"/>
      <c r="G655" s="2"/>
      <c r="H655" s="2"/>
      <c r="I655" s="1"/>
      <c r="J655" s="2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1"/>
      <c r="C656" s="2"/>
      <c r="D656" s="2"/>
      <c r="E656" s="2"/>
      <c r="F656" s="2"/>
      <c r="G656" s="2"/>
      <c r="H656" s="2"/>
      <c r="I656" s="1"/>
      <c r="J656" s="2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1"/>
      <c r="C657" s="2"/>
      <c r="D657" s="2"/>
      <c r="E657" s="2"/>
      <c r="F657" s="2"/>
      <c r="G657" s="2"/>
      <c r="H657" s="2"/>
      <c r="I657" s="1"/>
      <c r="J657" s="2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1"/>
      <c r="C658" s="2"/>
      <c r="D658" s="2"/>
      <c r="E658" s="2"/>
      <c r="F658" s="2"/>
      <c r="G658" s="2"/>
      <c r="H658" s="2"/>
      <c r="I658" s="1"/>
      <c r="J658" s="2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1"/>
      <c r="C659" s="2"/>
      <c r="D659" s="2"/>
      <c r="E659" s="2"/>
      <c r="F659" s="2"/>
      <c r="G659" s="2"/>
      <c r="H659" s="2"/>
      <c r="I659" s="1"/>
      <c r="J659" s="2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1"/>
      <c r="C660" s="2"/>
      <c r="D660" s="2"/>
      <c r="E660" s="2"/>
      <c r="F660" s="2"/>
      <c r="G660" s="2"/>
      <c r="H660" s="2"/>
      <c r="I660" s="1"/>
      <c r="J660" s="2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1"/>
      <c r="C661" s="2"/>
      <c r="D661" s="2"/>
      <c r="E661" s="2"/>
      <c r="F661" s="2"/>
      <c r="G661" s="2"/>
      <c r="H661" s="2"/>
      <c r="I661" s="1"/>
      <c r="J661" s="2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1"/>
      <c r="C662" s="2"/>
      <c r="D662" s="2"/>
      <c r="E662" s="2"/>
      <c r="F662" s="2"/>
      <c r="G662" s="2"/>
      <c r="H662" s="2"/>
      <c r="I662" s="1"/>
      <c r="J662" s="2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1"/>
      <c r="C663" s="2"/>
      <c r="D663" s="2"/>
      <c r="E663" s="2"/>
      <c r="F663" s="2"/>
      <c r="G663" s="2"/>
      <c r="H663" s="2"/>
      <c r="I663" s="1"/>
      <c r="J663" s="2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1"/>
      <c r="C664" s="2"/>
      <c r="D664" s="2"/>
      <c r="E664" s="2"/>
      <c r="F664" s="2"/>
      <c r="G664" s="2"/>
      <c r="H664" s="2"/>
      <c r="I664" s="1"/>
      <c r="J664" s="2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1"/>
      <c r="C665" s="2"/>
      <c r="D665" s="2"/>
      <c r="E665" s="2"/>
      <c r="F665" s="2"/>
      <c r="G665" s="2"/>
      <c r="H665" s="2"/>
      <c r="I665" s="1"/>
      <c r="J665" s="2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1"/>
      <c r="C666" s="2"/>
      <c r="D666" s="2"/>
      <c r="E666" s="2"/>
      <c r="F666" s="2"/>
      <c r="G666" s="2"/>
      <c r="H666" s="2"/>
      <c r="I666" s="1"/>
      <c r="J666" s="2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1"/>
      <c r="C667" s="2"/>
      <c r="D667" s="2"/>
      <c r="E667" s="2"/>
      <c r="F667" s="2"/>
      <c r="G667" s="2"/>
      <c r="H667" s="2"/>
      <c r="I667" s="1"/>
      <c r="J667" s="2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1"/>
      <c r="C668" s="2"/>
      <c r="D668" s="2"/>
      <c r="E668" s="2"/>
      <c r="F668" s="2"/>
      <c r="G668" s="2"/>
      <c r="H668" s="2"/>
      <c r="I668" s="1"/>
      <c r="J668" s="2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1"/>
      <c r="C669" s="2"/>
      <c r="D669" s="2"/>
      <c r="E669" s="2"/>
      <c r="F669" s="2"/>
      <c r="G669" s="2"/>
      <c r="H669" s="2"/>
      <c r="I669" s="1"/>
      <c r="J669" s="2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1"/>
      <c r="C670" s="2"/>
      <c r="D670" s="2"/>
      <c r="E670" s="2"/>
      <c r="F670" s="2"/>
      <c r="G670" s="2"/>
      <c r="H670" s="2"/>
      <c r="I670" s="1"/>
      <c r="J670" s="2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1"/>
      <c r="C671" s="2"/>
      <c r="D671" s="2"/>
      <c r="E671" s="2"/>
      <c r="F671" s="2"/>
      <c r="G671" s="2"/>
      <c r="H671" s="2"/>
      <c r="I671" s="1"/>
      <c r="J671" s="2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1"/>
      <c r="C672" s="2"/>
      <c r="D672" s="2"/>
      <c r="E672" s="2"/>
      <c r="F672" s="2"/>
      <c r="G672" s="2"/>
      <c r="H672" s="2"/>
      <c r="I672" s="1"/>
      <c r="J672" s="2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1"/>
      <c r="C673" s="2"/>
      <c r="D673" s="2"/>
      <c r="E673" s="2"/>
      <c r="F673" s="2"/>
      <c r="G673" s="2"/>
      <c r="H673" s="2"/>
      <c r="I673" s="1"/>
      <c r="J673" s="2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1"/>
      <c r="C674" s="2"/>
      <c r="D674" s="2"/>
      <c r="E674" s="2"/>
      <c r="F674" s="2"/>
      <c r="G674" s="2"/>
      <c r="H674" s="2"/>
      <c r="I674" s="1"/>
      <c r="J674" s="2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1"/>
      <c r="C675" s="2"/>
      <c r="D675" s="2"/>
      <c r="E675" s="2"/>
      <c r="F675" s="2"/>
      <c r="G675" s="2"/>
      <c r="H675" s="2"/>
      <c r="I675" s="1"/>
      <c r="J675" s="2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1"/>
      <c r="C676" s="2"/>
      <c r="D676" s="2"/>
      <c r="E676" s="2"/>
      <c r="F676" s="2"/>
      <c r="G676" s="2"/>
      <c r="H676" s="2"/>
      <c r="I676" s="1"/>
      <c r="J676" s="2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1"/>
      <c r="C677" s="2"/>
      <c r="D677" s="2"/>
      <c r="E677" s="2"/>
      <c r="F677" s="2"/>
      <c r="G677" s="2"/>
      <c r="H677" s="2"/>
      <c r="I677" s="1"/>
      <c r="J677" s="2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1"/>
      <c r="C678" s="2"/>
      <c r="D678" s="2"/>
      <c r="E678" s="2"/>
      <c r="F678" s="2"/>
      <c r="G678" s="2"/>
      <c r="H678" s="2"/>
      <c r="I678" s="1"/>
      <c r="J678" s="2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1"/>
      <c r="C679" s="2"/>
      <c r="D679" s="2"/>
      <c r="E679" s="2"/>
      <c r="F679" s="2"/>
      <c r="G679" s="2"/>
      <c r="H679" s="2"/>
      <c r="I679" s="1"/>
      <c r="J679" s="2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1"/>
      <c r="C680" s="2"/>
      <c r="D680" s="2"/>
      <c r="E680" s="2"/>
      <c r="F680" s="2"/>
      <c r="G680" s="2"/>
      <c r="H680" s="2"/>
      <c r="I680" s="1"/>
      <c r="J680" s="2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1"/>
      <c r="C681" s="2"/>
      <c r="D681" s="2"/>
      <c r="E681" s="2"/>
      <c r="F681" s="2"/>
      <c r="G681" s="2"/>
      <c r="H681" s="2"/>
      <c r="I681" s="1"/>
      <c r="J681" s="2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1"/>
      <c r="C682" s="2"/>
      <c r="D682" s="2"/>
      <c r="E682" s="2"/>
      <c r="F682" s="2"/>
      <c r="G682" s="2"/>
      <c r="H682" s="2"/>
      <c r="I682" s="1"/>
      <c r="J682" s="2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1"/>
      <c r="C683" s="2"/>
      <c r="D683" s="2"/>
      <c r="E683" s="2"/>
      <c r="F683" s="2"/>
      <c r="G683" s="2"/>
      <c r="H683" s="2"/>
      <c r="I683" s="1"/>
      <c r="J683" s="2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1"/>
      <c r="C684" s="2"/>
      <c r="D684" s="2"/>
      <c r="E684" s="2"/>
      <c r="F684" s="2"/>
      <c r="G684" s="2"/>
      <c r="H684" s="2"/>
      <c r="I684" s="1"/>
      <c r="J684" s="2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1"/>
      <c r="C685" s="2"/>
      <c r="D685" s="2"/>
      <c r="E685" s="2"/>
      <c r="F685" s="2"/>
      <c r="G685" s="2"/>
      <c r="H685" s="2"/>
      <c r="I685" s="1"/>
      <c r="J685" s="2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1"/>
      <c r="C686" s="2"/>
      <c r="D686" s="2"/>
      <c r="E686" s="2"/>
      <c r="F686" s="2"/>
      <c r="G686" s="2"/>
      <c r="H686" s="2"/>
      <c r="I686" s="1"/>
      <c r="J686" s="2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1"/>
      <c r="C687" s="2"/>
      <c r="D687" s="2"/>
      <c r="E687" s="2"/>
      <c r="F687" s="2"/>
      <c r="G687" s="2"/>
      <c r="H687" s="2"/>
      <c r="I687" s="1"/>
      <c r="J687" s="2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1"/>
      <c r="C688" s="2"/>
      <c r="D688" s="2"/>
      <c r="E688" s="2"/>
      <c r="F688" s="2"/>
      <c r="G688" s="2"/>
      <c r="H688" s="2"/>
      <c r="I688" s="1"/>
      <c r="J688" s="2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1"/>
      <c r="C689" s="2"/>
      <c r="D689" s="2"/>
      <c r="E689" s="2"/>
      <c r="F689" s="2"/>
      <c r="G689" s="2"/>
      <c r="H689" s="2"/>
      <c r="I689" s="1"/>
      <c r="J689" s="2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1"/>
      <c r="C690" s="2"/>
      <c r="D690" s="2"/>
      <c r="E690" s="2"/>
      <c r="F690" s="2"/>
      <c r="G690" s="2"/>
      <c r="H690" s="2"/>
      <c r="I690" s="1"/>
      <c r="J690" s="2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1"/>
      <c r="C691" s="2"/>
      <c r="D691" s="2"/>
      <c r="E691" s="2"/>
      <c r="F691" s="2"/>
      <c r="G691" s="2"/>
      <c r="H691" s="2"/>
      <c r="I691" s="1"/>
      <c r="J691" s="2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1"/>
      <c r="C692" s="2"/>
      <c r="D692" s="2"/>
      <c r="E692" s="2"/>
      <c r="F692" s="2"/>
      <c r="G692" s="2"/>
      <c r="H692" s="2"/>
      <c r="I692" s="1"/>
      <c r="J692" s="2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1"/>
      <c r="C693" s="2"/>
      <c r="D693" s="2"/>
      <c r="E693" s="2"/>
      <c r="F693" s="2"/>
      <c r="G693" s="2"/>
      <c r="H693" s="2"/>
      <c r="I693" s="1"/>
      <c r="J693" s="2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1"/>
      <c r="C694" s="2"/>
      <c r="D694" s="2"/>
      <c r="E694" s="2"/>
      <c r="F694" s="2"/>
      <c r="G694" s="2"/>
      <c r="H694" s="2"/>
      <c r="I694" s="1"/>
      <c r="J694" s="2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1"/>
      <c r="C695" s="2"/>
      <c r="D695" s="2"/>
      <c r="E695" s="2"/>
      <c r="F695" s="2"/>
      <c r="G695" s="2"/>
      <c r="H695" s="2"/>
      <c r="I695" s="1"/>
      <c r="J695" s="2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1"/>
      <c r="C696" s="2"/>
      <c r="D696" s="2"/>
      <c r="E696" s="2"/>
      <c r="F696" s="2"/>
      <c r="G696" s="2"/>
      <c r="H696" s="2"/>
      <c r="I696" s="1"/>
      <c r="J696" s="2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1"/>
      <c r="C697" s="2"/>
      <c r="D697" s="2"/>
      <c r="E697" s="2"/>
      <c r="F697" s="2"/>
      <c r="G697" s="2"/>
      <c r="H697" s="2"/>
      <c r="I697" s="1"/>
      <c r="J697" s="2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1"/>
      <c r="C698" s="2"/>
      <c r="D698" s="2"/>
      <c r="E698" s="2"/>
      <c r="F698" s="2"/>
      <c r="G698" s="2"/>
      <c r="H698" s="2"/>
      <c r="I698" s="1"/>
      <c r="J698" s="2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1"/>
      <c r="C699" s="2"/>
      <c r="D699" s="2"/>
      <c r="E699" s="2"/>
      <c r="F699" s="2"/>
      <c r="G699" s="2"/>
      <c r="H699" s="2"/>
      <c r="I699" s="1"/>
      <c r="J699" s="2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1"/>
      <c r="C700" s="2"/>
      <c r="D700" s="2"/>
      <c r="E700" s="2"/>
      <c r="F700" s="2"/>
      <c r="G700" s="2"/>
      <c r="H700" s="2"/>
      <c r="I700" s="1"/>
      <c r="J700" s="2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1"/>
      <c r="C701" s="2"/>
      <c r="D701" s="2"/>
      <c r="E701" s="2"/>
      <c r="F701" s="2"/>
      <c r="G701" s="2"/>
      <c r="H701" s="2"/>
      <c r="I701" s="1"/>
      <c r="J701" s="2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1"/>
      <c r="C702" s="2"/>
      <c r="D702" s="2"/>
      <c r="E702" s="2"/>
      <c r="F702" s="2"/>
      <c r="G702" s="2"/>
      <c r="H702" s="2"/>
      <c r="I702" s="1"/>
      <c r="J702" s="2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1"/>
      <c r="C703" s="2"/>
      <c r="D703" s="2"/>
      <c r="E703" s="2"/>
      <c r="F703" s="2"/>
      <c r="G703" s="2"/>
      <c r="H703" s="2"/>
      <c r="I703" s="1"/>
      <c r="J703" s="2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1"/>
      <c r="C704" s="2"/>
      <c r="D704" s="2"/>
      <c r="E704" s="2"/>
      <c r="F704" s="2"/>
      <c r="G704" s="2"/>
      <c r="H704" s="2"/>
      <c r="I704" s="1"/>
      <c r="J704" s="2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1"/>
      <c r="C705" s="2"/>
      <c r="D705" s="2"/>
      <c r="E705" s="2"/>
      <c r="F705" s="2"/>
      <c r="G705" s="2"/>
      <c r="H705" s="2"/>
      <c r="I705" s="1"/>
      <c r="J705" s="2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1"/>
      <c r="C706" s="2"/>
      <c r="D706" s="2"/>
      <c r="E706" s="2"/>
      <c r="F706" s="2"/>
      <c r="G706" s="2"/>
      <c r="H706" s="2"/>
      <c r="I706" s="1"/>
      <c r="J706" s="2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1"/>
      <c r="C707" s="2"/>
      <c r="D707" s="2"/>
      <c r="E707" s="2"/>
      <c r="F707" s="2"/>
      <c r="G707" s="2"/>
      <c r="H707" s="2"/>
      <c r="I707" s="1"/>
      <c r="J707" s="2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1"/>
      <c r="C708" s="2"/>
      <c r="D708" s="2"/>
      <c r="E708" s="2"/>
      <c r="F708" s="2"/>
      <c r="G708" s="2"/>
      <c r="H708" s="2"/>
      <c r="I708" s="1"/>
      <c r="J708" s="2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1"/>
      <c r="C709" s="2"/>
      <c r="D709" s="2"/>
      <c r="E709" s="2"/>
      <c r="F709" s="2"/>
      <c r="G709" s="2"/>
      <c r="H709" s="2"/>
      <c r="I709" s="1"/>
      <c r="J709" s="2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1"/>
      <c r="C710" s="2"/>
      <c r="D710" s="2"/>
      <c r="E710" s="2"/>
      <c r="F710" s="2"/>
      <c r="G710" s="2"/>
      <c r="H710" s="2"/>
      <c r="I710" s="1"/>
      <c r="J710" s="2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1"/>
      <c r="C711" s="2"/>
      <c r="D711" s="2"/>
      <c r="E711" s="2"/>
      <c r="F711" s="2"/>
      <c r="G711" s="2"/>
      <c r="H711" s="2"/>
      <c r="I711" s="1"/>
      <c r="J711" s="2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1"/>
      <c r="C712" s="2"/>
      <c r="D712" s="2"/>
      <c r="E712" s="2"/>
      <c r="F712" s="2"/>
      <c r="G712" s="2"/>
      <c r="H712" s="2"/>
      <c r="I712" s="1"/>
      <c r="J712" s="2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1"/>
      <c r="C713" s="2"/>
      <c r="D713" s="2"/>
      <c r="E713" s="2"/>
      <c r="F713" s="2"/>
      <c r="G713" s="2"/>
      <c r="H713" s="2"/>
      <c r="I713" s="1"/>
      <c r="J713" s="2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1"/>
      <c r="C714" s="2"/>
      <c r="D714" s="2"/>
      <c r="E714" s="2"/>
      <c r="F714" s="2"/>
      <c r="G714" s="2"/>
      <c r="H714" s="2"/>
      <c r="I714" s="1"/>
      <c r="J714" s="2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1"/>
      <c r="C715" s="2"/>
      <c r="D715" s="2"/>
      <c r="E715" s="2"/>
      <c r="F715" s="2"/>
      <c r="G715" s="2"/>
      <c r="H715" s="2"/>
      <c r="I715" s="1"/>
      <c r="J715" s="2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1"/>
      <c r="C716" s="2"/>
      <c r="D716" s="2"/>
      <c r="E716" s="2"/>
      <c r="F716" s="2"/>
      <c r="G716" s="2"/>
      <c r="H716" s="2"/>
      <c r="I716" s="1"/>
      <c r="J716" s="2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1"/>
      <c r="C717" s="2"/>
      <c r="D717" s="2"/>
      <c r="E717" s="2"/>
      <c r="F717" s="2"/>
      <c r="G717" s="2"/>
      <c r="H717" s="2"/>
      <c r="I717" s="1"/>
      <c r="J717" s="2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1"/>
      <c r="C718" s="2"/>
      <c r="D718" s="2"/>
      <c r="E718" s="2"/>
      <c r="F718" s="2"/>
      <c r="G718" s="2"/>
      <c r="H718" s="2"/>
      <c r="I718" s="1"/>
      <c r="J718" s="2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1"/>
      <c r="C719" s="2"/>
      <c r="D719" s="2"/>
      <c r="E719" s="2"/>
      <c r="F719" s="2"/>
      <c r="G719" s="2"/>
      <c r="H719" s="2"/>
      <c r="I719" s="1"/>
      <c r="J719" s="2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1"/>
      <c r="C720" s="2"/>
      <c r="D720" s="2"/>
      <c r="E720" s="2"/>
      <c r="F720" s="2"/>
      <c r="G720" s="2"/>
      <c r="H720" s="2"/>
      <c r="I720" s="1"/>
      <c r="J720" s="2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1"/>
      <c r="C721" s="2"/>
      <c r="D721" s="2"/>
      <c r="E721" s="2"/>
      <c r="F721" s="2"/>
      <c r="G721" s="2"/>
      <c r="H721" s="2"/>
      <c r="I721" s="1"/>
      <c r="J721" s="2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1"/>
      <c r="C722" s="2"/>
      <c r="D722" s="2"/>
      <c r="E722" s="2"/>
      <c r="F722" s="2"/>
      <c r="G722" s="2"/>
      <c r="H722" s="2"/>
      <c r="I722" s="1"/>
      <c r="J722" s="2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1"/>
      <c r="C723" s="2"/>
      <c r="D723" s="2"/>
      <c r="E723" s="2"/>
      <c r="F723" s="2"/>
      <c r="G723" s="2"/>
      <c r="H723" s="2"/>
      <c r="I723" s="1"/>
      <c r="J723" s="2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1"/>
      <c r="C724" s="2"/>
      <c r="D724" s="2"/>
      <c r="E724" s="2"/>
      <c r="F724" s="2"/>
      <c r="G724" s="2"/>
      <c r="H724" s="2"/>
      <c r="I724" s="1"/>
      <c r="J724" s="2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1"/>
      <c r="C725" s="2"/>
      <c r="D725" s="2"/>
      <c r="E725" s="2"/>
      <c r="F725" s="2"/>
      <c r="G725" s="2"/>
      <c r="H725" s="2"/>
      <c r="I725" s="1"/>
      <c r="J725" s="2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1"/>
      <c r="C726" s="2"/>
      <c r="D726" s="2"/>
      <c r="E726" s="2"/>
      <c r="F726" s="2"/>
      <c r="G726" s="2"/>
      <c r="H726" s="2"/>
      <c r="I726" s="1"/>
      <c r="J726" s="2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1"/>
      <c r="C727" s="2"/>
      <c r="D727" s="2"/>
      <c r="E727" s="2"/>
      <c r="F727" s="2"/>
      <c r="G727" s="2"/>
      <c r="H727" s="2"/>
      <c r="I727" s="1"/>
      <c r="J727" s="2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1"/>
      <c r="C728" s="2"/>
      <c r="D728" s="2"/>
      <c r="E728" s="2"/>
      <c r="F728" s="2"/>
      <c r="G728" s="2"/>
      <c r="H728" s="2"/>
      <c r="I728" s="1"/>
      <c r="J728" s="2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1"/>
      <c r="C729" s="2"/>
      <c r="D729" s="2"/>
      <c r="E729" s="2"/>
      <c r="F729" s="2"/>
      <c r="G729" s="2"/>
      <c r="H729" s="2"/>
      <c r="I729" s="1"/>
      <c r="J729" s="2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1"/>
      <c r="C730" s="2"/>
      <c r="D730" s="2"/>
      <c r="E730" s="2"/>
      <c r="F730" s="2"/>
      <c r="G730" s="2"/>
      <c r="H730" s="2"/>
      <c r="I730" s="1"/>
      <c r="J730" s="2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1"/>
      <c r="C731" s="2"/>
      <c r="D731" s="2"/>
      <c r="E731" s="2"/>
      <c r="F731" s="2"/>
      <c r="G731" s="2"/>
      <c r="H731" s="2"/>
      <c r="I731" s="1"/>
      <c r="J731" s="2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1"/>
      <c r="C732" s="2"/>
      <c r="D732" s="2"/>
      <c r="E732" s="2"/>
      <c r="F732" s="2"/>
      <c r="G732" s="2"/>
      <c r="H732" s="2"/>
      <c r="I732" s="1"/>
      <c r="J732" s="2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1"/>
      <c r="C733" s="2"/>
      <c r="D733" s="2"/>
      <c r="E733" s="2"/>
      <c r="F733" s="2"/>
      <c r="G733" s="2"/>
      <c r="H733" s="2"/>
      <c r="I733" s="1"/>
      <c r="J733" s="2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1"/>
      <c r="C734" s="2"/>
      <c r="D734" s="2"/>
      <c r="E734" s="2"/>
      <c r="F734" s="2"/>
      <c r="G734" s="2"/>
      <c r="H734" s="2"/>
      <c r="I734" s="1"/>
      <c r="J734" s="2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1"/>
      <c r="C735" s="2"/>
      <c r="D735" s="2"/>
      <c r="E735" s="2"/>
      <c r="F735" s="2"/>
      <c r="G735" s="2"/>
      <c r="H735" s="2"/>
      <c r="I735" s="1"/>
      <c r="J735" s="2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1"/>
      <c r="C736" s="2"/>
      <c r="D736" s="2"/>
      <c r="E736" s="2"/>
      <c r="F736" s="2"/>
      <c r="G736" s="2"/>
      <c r="H736" s="2"/>
      <c r="I736" s="1"/>
      <c r="J736" s="2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1"/>
      <c r="C737" s="2"/>
      <c r="D737" s="2"/>
      <c r="E737" s="2"/>
      <c r="F737" s="2"/>
      <c r="G737" s="2"/>
      <c r="H737" s="2"/>
      <c r="I737" s="1"/>
      <c r="J737" s="2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1"/>
      <c r="C738" s="2"/>
      <c r="D738" s="2"/>
      <c r="E738" s="2"/>
      <c r="F738" s="2"/>
      <c r="G738" s="2"/>
      <c r="H738" s="2"/>
      <c r="I738" s="1"/>
      <c r="J738" s="2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1"/>
      <c r="C739" s="2"/>
      <c r="D739" s="2"/>
      <c r="E739" s="2"/>
      <c r="F739" s="2"/>
      <c r="G739" s="2"/>
      <c r="H739" s="2"/>
      <c r="I739" s="1"/>
      <c r="J739" s="2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1"/>
      <c r="C740" s="2"/>
      <c r="D740" s="2"/>
      <c r="E740" s="2"/>
      <c r="F740" s="2"/>
      <c r="G740" s="2"/>
      <c r="H740" s="2"/>
      <c r="I740" s="1"/>
      <c r="J740" s="2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1"/>
      <c r="C741" s="2"/>
      <c r="D741" s="2"/>
      <c r="E741" s="2"/>
      <c r="F741" s="2"/>
      <c r="G741" s="2"/>
      <c r="H741" s="2"/>
      <c r="I741" s="1"/>
      <c r="J741" s="2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1"/>
      <c r="C742" s="2"/>
      <c r="D742" s="2"/>
      <c r="E742" s="2"/>
      <c r="F742" s="2"/>
      <c r="G742" s="2"/>
      <c r="H742" s="2"/>
      <c r="I742" s="1"/>
      <c r="J742" s="2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1"/>
      <c r="C743" s="2"/>
      <c r="D743" s="2"/>
      <c r="E743" s="2"/>
      <c r="F743" s="2"/>
      <c r="G743" s="2"/>
      <c r="H743" s="2"/>
      <c r="I743" s="1"/>
      <c r="J743" s="2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1"/>
      <c r="C744" s="2"/>
      <c r="D744" s="2"/>
      <c r="E744" s="2"/>
      <c r="F744" s="2"/>
      <c r="G744" s="2"/>
      <c r="H744" s="2"/>
      <c r="I744" s="1"/>
      <c r="J744" s="2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1"/>
      <c r="C745" s="2"/>
      <c r="D745" s="2"/>
      <c r="E745" s="2"/>
      <c r="F745" s="2"/>
      <c r="G745" s="2"/>
      <c r="H745" s="2"/>
      <c r="I745" s="1"/>
      <c r="J745" s="2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1"/>
      <c r="C746" s="2"/>
      <c r="D746" s="2"/>
      <c r="E746" s="2"/>
      <c r="F746" s="2"/>
      <c r="G746" s="2"/>
      <c r="H746" s="2"/>
      <c r="I746" s="1"/>
      <c r="J746" s="2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1"/>
      <c r="C747" s="2"/>
      <c r="D747" s="2"/>
      <c r="E747" s="2"/>
      <c r="F747" s="2"/>
      <c r="G747" s="2"/>
      <c r="H747" s="2"/>
      <c r="I747" s="1"/>
      <c r="J747" s="2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1"/>
      <c r="C748" s="2"/>
      <c r="D748" s="2"/>
      <c r="E748" s="2"/>
      <c r="F748" s="2"/>
      <c r="G748" s="2"/>
      <c r="H748" s="2"/>
      <c r="I748" s="1"/>
      <c r="J748" s="2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1"/>
      <c r="C749" s="2"/>
      <c r="D749" s="2"/>
      <c r="E749" s="2"/>
      <c r="F749" s="2"/>
      <c r="G749" s="2"/>
      <c r="H749" s="2"/>
      <c r="I749" s="1"/>
      <c r="J749" s="2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1"/>
      <c r="C750" s="2"/>
      <c r="D750" s="2"/>
      <c r="E750" s="2"/>
      <c r="F750" s="2"/>
      <c r="G750" s="2"/>
      <c r="H750" s="2"/>
      <c r="I750" s="1"/>
      <c r="J750" s="2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1"/>
      <c r="C751" s="2"/>
      <c r="D751" s="2"/>
      <c r="E751" s="2"/>
      <c r="F751" s="2"/>
      <c r="G751" s="2"/>
      <c r="H751" s="2"/>
      <c r="I751" s="1"/>
      <c r="J751" s="2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1"/>
      <c r="C752" s="2"/>
      <c r="D752" s="2"/>
      <c r="E752" s="2"/>
      <c r="F752" s="2"/>
      <c r="G752" s="2"/>
      <c r="H752" s="2"/>
      <c r="I752" s="1"/>
      <c r="J752" s="2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1"/>
      <c r="C753" s="2"/>
      <c r="D753" s="2"/>
      <c r="E753" s="2"/>
      <c r="F753" s="2"/>
      <c r="G753" s="2"/>
      <c r="H753" s="2"/>
      <c r="I753" s="1"/>
      <c r="J753" s="2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1"/>
      <c r="C754" s="2"/>
      <c r="D754" s="2"/>
      <c r="E754" s="2"/>
      <c r="F754" s="2"/>
      <c r="G754" s="2"/>
      <c r="H754" s="2"/>
      <c r="I754" s="1"/>
      <c r="J754" s="2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1"/>
      <c r="C755" s="2"/>
      <c r="D755" s="2"/>
      <c r="E755" s="2"/>
      <c r="F755" s="2"/>
      <c r="G755" s="2"/>
      <c r="H755" s="2"/>
      <c r="I755" s="1"/>
      <c r="J755" s="2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1"/>
      <c r="C756" s="2"/>
      <c r="D756" s="2"/>
      <c r="E756" s="2"/>
      <c r="F756" s="2"/>
      <c r="G756" s="2"/>
      <c r="H756" s="2"/>
      <c r="I756" s="1"/>
      <c r="J756" s="2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1"/>
      <c r="C757" s="2"/>
      <c r="D757" s="2"/>
      <c r="E757" s="2"/>
      <c r="F757" s="2"/>
      <c r="G757" s="2"/>
      <c r="H757" s="2"/>
      <c r="I757" s="1"/>
      <c r="J757" s="2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1"/>
      <c r="C758" s="2"/>
      <c r="D758" s="2"/>
      <c r="E758" s="2"/>
      <c r="F758" s="2"/>
      <c r="G758" s="2"/>
      <c r="H758" s="2"/>
      <c r="I758" s="1"/>
      <c r="J758" s="2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1"/>
      <c r="C759" s="2"/>
      <c r="D759" s="2"/>
      <c r="E759" s="2"/>
      <c r="F759" s="2"/>
      <c r="G759" s="2"/>
      <c r="H759" s="2"/>
      <c r="I759" s="1"/>
      <c r="J759" s="2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1"/>
      <c r="C760" s="2"/>
      <c r="D760" s="2"/>
      <c r="E760" s="2"/>
      <c r="F760" s="2"/>
      <c r="G760" s="2"/>
      <c r="H760" s="2"/>
      <c r="I760" s="1"/>
      <c r="J760" s="2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1"/>
      <c r="C761" s="2"/>
      <c r="D761" s="2"/>
      <c r="E761" s="2"/>
      <c r="F761" s="2"/>
      <c r="G761" s="2"/>
      <c r="H761" s="2"/>
      <c r="I761" s="1"/>
      <c r="J761" s="2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1"/>
      <c r="C762" s="2"/>
      <c r="D762" s="2"/>
      <c r="E762" s="2"/>
      <c r="F762" s="2"/>
      <c r="G762" s="2"/>
      <c r="H762" s="2"/>
      <c r="I762" s="1"/>
      <c r="J762" s="2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1"/>
      <c r="C763" s="2"/>
      <c r="D763" s="2"/>
      <c r="E763" s="2"/>
      <c r="F763" s="2"/>
      <c r="G763" s="2"/>
      <c r="H763" s="2"/>
      <c r="I763" s="1"/>
      <c r="J763" s="2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1"/>
      <c r="C764" s="2"/>
      <c r="D764" s="2"/>
      <c r="E764" s="2"/>
      <c r="F764" s="2"/>
      <c r="G764" s="2"/>
      <c r="H764" s="2"/>
      <c r="I764" s="1"/>
      <c r="J764" s="2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1"/>
      <c r="C765" s="2"/>
      <c r="D765" s="2"/>
      <c r="E765" s="2"/>
      <c r="F765" s="2"/>
      <c r="G765" s="2"/>
      <c r="H765" s="2"/>
      <c r="I765" s="1"/>
      <c r="J765" s="2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1"/>
      <c r="C766" s="2"/>
      <c r="D766" s="2"/>
      <c r="E766" s="2"/>
      <c r="F766" s="2"/>
      <c r="G766" s="2"/>
      <c r="H766" s="2"/>
      <c r="I766" s="1"/>
      <c r="J766" s="2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1"/>
      <c r="C767" s="2"/>
      <c r="D767" s="2"/>
      <c r="E767" s="2"/>
      <c r="F767" s="2"/>
      <c r="G767" s="2"/>
      <c r="H767" s="2"/>
      <c r="I767" s="1"/>
      <c r="J767" s="2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1"/>
      <c r="C768" s="2"/>
      <c r="D768" s="2"/>
      <c r="E768" s="2"/>
      <c r="F768" s="2"/>
      <c r="G768" s="2"/>
      <c r="H768" s="2"/>
      <c r="I768" s="1"/>
      <c r="J768" s="2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1"/>
      <c r="C769" s="2"/>
      <c r="D769" s="2"/>
      <c r="E769" s="2"/>
      <c r="F769" s="2"/>
      <c r="G769" s="2"/>
      <c r="H769" s="2"/>
      <c r="I769" s="1"/>
      <c r="J769" s="2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1"/>
      <c r="C770" s="2"/>
      <c r="D770" s="2"/>
      <c r="E770" s="2"/>
      <c r="F770" s="2"/>
      <c r="G770" s="2"/>
      <c r="H770" s="2"/>
      <c r="I770" s="1"/>
      <c r="J770" s="2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1"/>
      <c r="C771" s="2"/>
      <c r="D771" s="2"/>
      <c r="E771" s="2"/>
      <c r="F771" s="2"/>
      <c r="G771" s="2"/>
      <c r="H771" s="2"/>
      <c r="I771" s="1"/>
      <c r="J771" s="2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1"/>
      <c r="C772" s="2"/>
      <c r="D772" s="2"/>
      <c r="E772" s="2"/>
      <c r="F772" s="2"/>
      <c r="G772" s="2"/>
      <c r="H772" s="2"/>
      <c r="I772" s="1"/>
      <c r="J772" s="2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1"/>
      <c r="C773" s="2"/>
      <c r="D773" s="2"/>
      <c r="E773" s="2"/>
      <c r="F773" s="2"/>
      <c r="G773" s="2"/>
      <c r="H773" s="2"/>
      <c r="I773" s="1"/>
      <c r="J773" s="2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1"/>
      <c r="C774" s="2"/>
      <c r="D774" s="2"/>
      <c r="E774" s="2"/>
      <c r="F774" s="2"/>
      <c r="G774" s="2"/>
      <c r="H774" s="2"/>
      <c r="I774" s="1"/>
      <c r="J774" s="2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1"/>
      <c r="C775" s="2"/>
      <c r="D775" s="2"/>
      <c r="E775" s="2"/>
      <c r="F775" s="2"/>
      <c r="G775" s="2"/>
      <c r="H775" s="2"/>
      <c r="I775" s="1"/>
      <c r="J775" s="2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1"/>
      <c r="C776" s="2"/>
      <c r="D776" s="2"/>
      <c r="E776" s="2"/>
      <c r="F776" s="2"/>
      <c r="G776" s="2"/>
      <c r="H776" s="2"/>
      <c r="I776" s="1"/>
      <c r="J776" s="2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1"/>
      <c r="C777" s="2"/>
      <c r="D777" s="2"/>
      <c r="E777" s="2"/>
      <c r="F777" s="2"/>
      <c r="G777" s="2"/>
      <c r="H777" s="2"/>
      <c r="I777" s="1"/>
      <c r="J777" s="2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1"/>
      <c r="C778" s="2"/>
      <c r="D778" s="2"/>
      <c r="E778" s="2"/>
      <c r="F778" s="2"/>
      <c r="G778" s="2"/>
      <c r="H778" s="2"/>
      <c r="I778" s="1"/>
      <c r="J778" s="2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1"/>
      <c r="C779" s="2"/>
      <c r="D779" s="2"/>
      <c r="E779" s="2"/>
      <c r="F779" s="2"/>
      <c r="G779" s="2"/>
      <c r="H779" s="2"/>
      <c r="I779" s="1"/>
      <c r="J779" s="2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1"/>
      <c r="C780" s="2"/>
      <c r="D780" s="2"/>
      <c r="E780" s="2"/>
      <c r="F780" s="2"/>
      <c r="G780" s="2"/>
      <c r="H780" s="2"/>
      <c r="I780" s="1"/>
      <c r="J780" s="2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1"/>
      <c r="C781" s="2"/>
      <c r="D781" s="2"/>
      <c r="E781" s="2"/>
      <c r="F781" s="2"/>
      <c r="G781" s="2"/>
      <c r="H781" s="2"/>
      <c r="I781" s="1"/>
      <c r="J781" s="2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1"/>
      <c r="C782" s="2"/>
      <c r="D782" s="2"/>
      <c r="E782" s="2"/>
      <c r="F782" s="2"/>
      <c r="G782" s="2"/>
      <c r="H782" s="2"/>
      <c r="I782" s="1"/>
      <c r="J782" s="2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1"/>
      <c r="C783" s="2"/>
      <c r="D783" s="2"/>
      <c r="E783" s="2"/>
      <c r="F783" s="2"/>
      <c r="G783" s="2"/>
      <c r="H783" s="2"/>
      <c r="I783" s="1"/>
      <c r="J783" s="2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1"/>
      <c r="C784" s="2"/>
      <c r="D784" s="2"/>
      <c r="E784" s="2"/>
      <c r="F784" s="2"/>
      <c r="G784" s="2"/>
      <c r="H784" s="2"/>
      <c r="I784" s="1"/>
      <c r="J784" s="2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1"/>
      <c r="C785" s="2"/>
      <c r="D785" s="2"/>
      <c r="E785" s="2"/>
      <c r="F785" s="2"/>
      <c r="G785" s="2"/>
      <c r="H785" s="2"/>
      <c r="I785" s="1"/>
      <c r="J785" s="2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1"/>
      <c r="C786" s="2"/>
      <c r="D786" s="2"/>
      <c r="E786" s="2"/>
      <c r="F786" s="2"/>
      <c r="G786" s="2"/>
      <c r="H786" s="2"/>
      <c r="I786" s="1"/>
      <c r="J786" s="2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1"/>
      <c r="C787" s="2"/>
      <c r="D787" s="2"/>
      <c r="E787" s="2"/>
      <c r="F787" s="2"/>
      <c r="G787" s="2"/>
      <c r="H787" s="2"/>
      <c r="I787" s="1"/>
      <c r="J787" s="2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1"/>
      <c r="C788" s="2"/>
      <c r="D788" s="2"/>
      <c r="E788" s="2"/>
      <c r="F788" s="2"/>
      <c r="G788" s="2"/>
      <c r="H788" s="2"/>
      <c r="I788" s="1"/>
      <c r="J788" s="2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1"/>
      <c r="C789" s="2"/>
      <c r="D789" s="2"/>
      <c r="E789" s="2"/>
      <c r="F789" s="2"/>
      <c r="G789" s="2"/>
      <c r="H789" s="2"/>
      <c r="I789" s="1"/>
      <c r="J789" s="2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1"/>
      <c r="C790" s="2"/>
      <c r="D790" s="2"/>
      <c r="E790" s="2"/>
      <c r="F790" s="2"/>
      <c r="G790" s="2"/>
      <c r="H790" s="2"/>
      <c r="I790" s="1"/>
      <c r="J790" s="2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1"/>
      <c r="C791" s="2"/>
      <c r="D791" s="2"/>
      <c r="E791" s="2"/>
      <c r="F791" s="2"/>
      <c r="G791" s="2"/>
      <c r="H791" s="2"/>
      <c r="I791" s="1"/>
      <c r="J791" s="2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1"/>
      <c r="C792" s="2"/>
      <c r="D792" s="2"/>
      <c r="E792" s="2"/>
      <c r="F792" s="2"/>
      <c r="G792" s="2"/>
      <c r="H792" s="2"/>
      <c r="I792" s="1"/>
      <c r="J792" s="2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1"/>
      <c r="C793" s="2"/>
      <c r="D793" s="2"/>
      <c r="E793" s="2"/>
      <c r="F793" s="2"/>
      <c r="G793" s="2"/>
      <c r="H793" s="2"/>
      <c r="I793" s="1"/>
      <c r="J793" s="2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1"/>
      <c r="C794" s="2"/>
      <c r="D794" s="2"/>
      <c r="E794" s="2"/>
      <c r="F794" s="2"/>
      <c r="G794" s="2"/>
      <c r="H794" s="2"/>
      <c r="I794" s="1"/>
      <c r="J794" s="2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1"/>
      <c r="C795" s="2"/>
      <c r="D795" s="2"/>
      <c r="E795" s="2"/>
      <c r="F795" s="2"/>
      <c r="G795" s="2"/>
      <c r="H795" s="2"/>
      <c r="I795" s="1"/>
      <c r="J795" s="2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1"/>
      <c r="C796" s="2"/>
      <c r="D796" s="2"/>
      <c r="E796" s="2"/>
      <c r="F796" s="2"/>
      <c r="G796" s="2"/>
      <c r="H796" s="2"/>
      <c r="I796" s="1"/>
      <c r="J796" s="2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1"/>
      <c r="C797" s="2"/>
      <c r="D797" s="2"/>
      <c r="E797" s="2"/>
      <c r="F797" s="2"/>
      <c r="G797" s="2"/>
      <c r="H797" s="2"/>
      <c r="I797" s="1"/>
      <c r="J797" s="2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1"/>
      <c r="C798" s="2"/>
      <c r="D798" s="2"/>
      <c r="E798" s="2"/>
      <c r="F798" s="2"/>
      <c r="G798" s="2"/>
      <c r="H798" s="2"/>
      <c r="I798" s="1"/>
      <c r="J798" s="2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1"/>
      <c r="C799" s="2"/>
      <c r="D799" s="2"/>
      <c r="E799" s="2"/>
      <c r="F799" s="2"/>
      <c r="G799" s="2"/>
      <c r="H799" s="2"/>
      <c r="I799" s="1"/>
      <c r="J799" s="2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1"/>
      <c r="C800" s="2"/>
      <c r="D800" s="2"/>
      <c r="E800" s="2"/>
      <c r="F800" s="2"/>
      <c r="G800" s="2"/>
      <c r="H800" s="2"/>
      <c r="I800" s="1"/>
      <c r="J800" s="2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1"/>
      <c r="C801" s="2"/>
      <c r="D801" s="2"/>
      <c r="E801" s="2"/>
      <c r="F801" s="2"/>
      <c r="G801" s="2"/>
      <c r="H801" s="2"/>
      <c r="I801" s="1"/>
      <c r="J801" s="2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1"/>
      <c r="C802" s="2"/>
      <c r="D802" s="2"/>
      <c r="E802" s="2"/>
      <c r="F802" s="2"/>
      <c r="G802" s="2"/>
      <c r="H802" s="2"/>
      <c r="I802" s="1"/>
      <c r="J802" s="2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1"/>
      <c r="C803" s="2"/>
      <c r="D803" s="2"/>
      <c r="E803" s="2"/>
      <c r="F803" s="2"/>
      <c r="G803" s="2"/>
      <c r="H803" s="2"/>
      <c r="I803" s="1"/>
      <c r="J803" s="2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1"/>
      <c r="C804" s="2"/>
      <c r="D804" s="2"/>
      <c r="E804" s="2"/>
      <c r="F804" s="2"/>
      <c r="G804" s="2"/>
      <c r="H804" s="2"/>
      <c r="I804" s="1"/>
      <c r="J804" s="2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1"/>
      <c r="C805" s="2"/>
      <c r="D805" s="2"/>
      <c r="E805" s="2"/>
      <c r="F805" s="2"/>
      <c r="G805" s="2"/>
      <c r="H805" s="2"/>
      <c r="I805" s="1"/>
      <c r="J805" s="2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1"/>
      <c r="C806" s="2"/>
      <c r="D806" s="2"/>
      <c r="E806" s="2"/>
      <c r="F806" s="2"/>
      <c r="G806" s="2"/>
      <c r="H806" s="2"/>
      <c r="I806" s="1"/>
      <c r="J806" s="2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1"/>
      <c r="C807" s="2"/>
      <c r="D807" s="2"/>
      <c r="E807" s="2"/>
      <c r="F807" s="2"/>
      <c r="G807" s="2"/>
      <c r="H807" s="2"/>
      <c r="I807" s="1"/>
      <c r="J807" s="2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1"/>
      <c r="C808" s="2"/>
      <c r="D808" s="2"/>
      <c r="E808" s="2"/>
      <c r="F808" s="2"/>
      <c r="G808" s="2"/>
      <c r="H808" s="2"/>
      <c r="I808" s="1"/>
      <c r="J808" s="2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1"/>
      <c r="C809" s="2"/>
      <c r="D809" s="2"/>
      <c r="E809" s="2"/>
      <c r="F809" s="2"/>
      <c r="G809" s="2"/>
      <c r="H809" s="2"/>
      <c r="I809" s="1"/>
      <c r="J809" s="2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1"/>
      <c r="C810" s="2"/>
      <c r="D810" s="2"/>
      <c r="E810" s="2"/>
      <c r="F810" s="2"/>
      <c r="G810" s="2"/>
      <c r="H810" s="2"/>
      <c r="I810" s="1"/>
      <c r="J810" s="2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1"/>
      <c r="C811" s="2"/>
      <c r="D811" s="2"/>
      <c r="E811" s="2"/>
      <c r="F811" s="2"/>
      <c r="G811" s="2"/>
      <c r="H811" s="2"/>
      <c r="I811" s="1"/>
      <c r="J811" s="2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1"/>
      <c r="C812" s="2"/>
      <c r="D812" s="2"/>
      <c r="E812" s="2"/>
      <c r="F812" s="2"/>
      <c r="G812" s="2"/>
      <c r="H812" s="2"/>
      <c r="I812" s="1"/>
      <c r="J812" s="2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1"/>
      <c r="C813" s="2"/>
      <c r="D813" s="2"/>
      <c r="E813" s="2"/>
      <c r="F813" s="2"/>
      <c r="G813" s="2"/>
      <c r="H813" s="2"/>
      <c r="I813" s="1"/>
      <c r="J813" s="2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1"/>
      <c r="C814" s="2"/>
      <c r="D814" s="2"/>
      <c r="E814" s="2"/>
      <c r="F814" s="2"/>
      <c r="G814" s="2"/>
      <c r="H814" s="2"/>
      <c r="I814" s="1"/>
      <c r="J814" s="2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1"/>
      <c r="C815" s="2"/>
      <c r="D815" s="2"/>
      <c r="E815" s="2"/>
      <c r="F815" s="2"/>
      <c r="G815" s="2"/>
      <c r="H815" s="2"/>
      <c r="I815" s="1"/>
      <c r="J815" s="2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1"/>
      <c r="C816" s="2"/>
      <c r="D816" s="2"/>
      <c r="E816" s="2"/>
      <c r="F816" s="2"/>
      <c r="G816" s="2"/>
      <c r="H816" s="2"/>
      <c r="I816" s="1"/>
      <c r="J816" s="2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1"/>
      <c r="C817" s="2"/>
      <c r="D817" s="2"/>
      <c r="E817" s="2"/>
      <c r="F817" s="2"/>
      <c r="G817" s="2"/>
      <c r="H817" s="2"/>
      <c r="I817" s="1"/>
      <c r="J817" s="2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1"/>
      <c r="C818" s="2"/>
      <c r="D818" s="2"/>
      <c r="E818" s="2"/>
      <c r="F818" s="2"/>
      <c r="G818" s="2"/>
      <c r="H818" s="2"/>
      <c r="I818" s="1"/>
      <c r="J818" s="2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1"/>
      <c r="C819" s="2"/>
      <c r="D819" s="2"/>
      <c r="E819" s="2"/>
      <c r="F819" s="2"/>
      <c r="G819" s="2"/>
      <c r="H819" s="2"/>
      <c r="I819" s="1"/>
      <c r="J819" s="2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1"/>
      <c r="C820" s="2"/>
      <c r="D820" s="2"/>
      <c r="E820" s="2"/>
      <c r="F820" s="2"/>
      <c r="G820" s="2"/>
      <c r="H820" s="2"/>
      <c r="I820" s="1"/>
      <c r="J820" s="2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1"/>
      <c r="C821" s="2"/>
      <c r="D821" s="2"/>
      <c r="E821" s="2"/>
      <c r="F821" s="2"/>
      <c r="G821" s="2"/>
      <c r="H821" s="2"/>
      <c r="I821" s="1"/>
      <c r="J821" s="2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1"/>
      <c r="C822" s="2"/>
      <c r="D822" s="2"/>
      <c r="E822" s="2"/>
      <c r="F822" s="2"/>
      <c r="G822" s="2"/>
      <c r="H822" s="2"/>
      <c r="I822" s="1"/>
      <c r="J822" s="2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1"/>
      <c r="C823" s="2"/>
      <c r="D823" s="2"/>
      <c r="E823" s="2"/>
      <c r="F823" s="2"/>
      <c r="G823" s="2"/>
      <c r="H823" s="2"/>
      <c r="I823" s="1"/>
      <c r="J823" s="2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1"/>
      <c r="C824" s="2"/>
      <c r="D824" s="2"/>
      <c r="E824" s="2"/>
      <c r="F824" s="2"/>
      <c r="G824" s="2"/>
      <c r="H824" s="2"/>
      <c r="I824" s="1"/>
      <c r="J824" s="2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1"/>
      <c r="C825" s="2"/>
      <c r="D825" s="2"/>
      <c r="E825" s="2"/>
      <c r="F825" s="2"/>
      <c r="G825" s="2"/>
      <c r="H825" s="2"/>
      <c r="I825" s="1"/>
      <c r="J825" s="2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1"/>
      <c r="C826" s="2"/>
      <c r="D826" s="2"/>
      <c r="E826" s="2"/>
      <c r="F826" s="2"/>
      <c r="G826" s="2"/>
      <c r="H826" s="2"/>
      <c r="I826" s="1"/>
      <c r="J826" s="2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1"/>
      <c r="C827" s="2"/>
      <c r="D827" s="2"/>
      <c r="E827" s="2"/>
      <c r="F827" s="2"/>
      <c r="G827" s="2"/>
      <c r="H827" s="2"/>
      <c r="I827" s="1"/>
      <c r="J827" s="2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1"/>
      <c r="C828" s="2"/>
      <c r="D828" s="2"/>
      <c r="E828" s="2"/>
      <c r="F828" s="2"/>
      <c r="G828" s="2"/>
      <c r="H828" s="2"/>
      <c r="I828" s="1"/>
      <c r="J828" s="2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1"/>
      <c r="C829" s="2"/>
      <c r="D829" s="2"/>
      <c r="E829" s="2"/>
      <c r="F829" s="2"/>
      <c r="G829" s="2"/>
      <c r="H829" s="2"/>
      <c r="I829" s="1"/>
      <c r="J829" s="2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1"/>
      <c r="C830" s="2"/>
      <c r="D830" s="2"/>
      <c r="E830" s="2"/>
      <c r="F830" s="2"/>
      <c r="G830" s="2"/>
      <c r="H830" s="2"/>
      <c r="I830" s="1"/>
      <c r="J830" s="2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1"/>
      <c r="C831" s="2"/>
      <c r="D831" s="2"/>
      <c r="E831" s="2"/>
      <c r="F831" s="2"/>
      <c r="G831" s="2"/>
      <c r="H831" s="2"/>
      <c r="I831" s="1"/>
      <c r="J831" s="2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1"/>
      <c r="C832" s="2"/>
      <c r="D832" s="2"/>
      <c r="E832" s="2"/>
      <c r="F832" s="2"/>
      <c r="G832" s="2"/>
      <c r="H832" s="2"/>
      <c r="I832" s="1"/>
      <c r="J832" s="2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1"/>
      <c r="C833" s="2"/>
      <c r="D833" s="2"/>
      <c r="E833" s="2"/>
      <c r="F833" s="2"/>
      <c r="G833" s="2"/>
      <c r="H833" s="2"/>
      <c r="I833" s="1"/>
      <c r="J833" s="2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1"/>
      <c r="C834" s="2"/>
      <c r="D834" s="2"/>
      <c r="E834" s="2"/>
      <c r="F834" s="2"/>
      <c r="G834" s="2"/>
      <c r="H834" s="2"/>
      <c r="I834" s="1"/>
      <c r="J834" s="2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1"/>
      <c r="C835" s="2"/>
      <c r="D835" s="2"/>
      <c r="E835" s="2"/>
      <c r="F835" s="2"/>
      <c r="G835" s="2"/>
      <c r="H835" s="2"/>
      <c r="I835" s="1"/>
      <c r="J835" s="2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1"/>
      <c r="C836" s="2"/>
      <c r="D836" s="2"/>
      <c r="E836" s="2"/>
      <c r="F836" s="2"/>
      <c r="G836" s="2"/>
      <c r="H836" s="2"/>
      <c r="I836" s="1"/>
      <c r="J836" s="2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1"/>
      <c r="C837" s="2"/>
      <c r="D837" s="2"/>
      <c r="E837" s="2"/>
      <c r="F837" s="2"/>
      <c r="G837" s="2"/>
      <c r="H837" s="2"/>
      <c r="I837" s="1"/>
      <c r="J837" s="2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1"/>
      <c r="C838" s="2"/>
      <c r="D838" s="2"/>
      <c r="E838" s="2"/>
      <c r="F838" s="2"/>
      <c r="G838" s="2"/>
      <c r="H838" s="2"/>
      <c r="I838" s="1"/>
      <c r="J838" s="2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1"/>
      <c r="C839" s="2"/>
      <c r="D839" s="2"/>
      <c r="E839" s="2"/>
      <c r="F839" s="2"/>
      <c r="G839" s="2"/>
      <c r="H839" s="2"/>
      <c r="I839" s="1"/>
      <c r="J839" s="2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1"/>
      <c r="C840" s="2"/>
      <c r="D840" s="2"/>
      <c r="E840" s="2"/>
      <c r="F840" s="2"/>
      <c r="G840" s="2"/>
      <c r="H840" s="2"/>
      <c r="I840" s="1"/>
      <c r="J840" s="2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1"/>
      <c r="C841" s="2"/>
      <c r="D841" s="2"/>
      <c r="E841" s="2"/>
      <c r="F841" s="2"/>
      <c r="G841" s="2"/>
      <c r="H841" s="2"/>
      <c r="I841" s="1"/>
      <c r="J841" s="2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1"/>
      <c r="C842" s="2"/>
      <c r="D842" s="2"/>
      <c r="E842" s="2"/>
      <c r="F842" s="2"/>
      <c r="G842" s="2"/>
      <c r="H842" s="2"/>
      <c r="I842" s="1"/>
      <c r="J842" s="2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1"/>
      <c r="C843" s="2"/>
      <c r="D843" s="2"/>
      <c r="E843" s="2"/>
      <c r="F843" s="2"/>
      <c r="G843" s="2"/>
      <c r="H843" s="2"/>
      <c r="I843" s="1"/>
      <c r="J843" s="2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1"/>
      <c r="C844" s="2"/>
      <c r="D844" s="2"/>
      <c r="E844" s="2"/>
      <c r="F844" s="2"/>
      <c r="G844" s="2"/>
      <c r="H844" s="2"/>
      <c r="I844" s="1"/>
      <c r="J844" s="2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1"/>
      <c r="C845" s="2"/>
      <c r="D845" s="2"/>
      <c r="E845" s="2"/>
      <c r="F845" s="2"/>
      <c r="G845" s="2"/>
      <c r="H845" s="2"/>
      <c r="I845" s="1"/>
      <c r="J845" s="2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1"/>
      <c r="C846" s="2"/>
      <c r="D846" s="2"/>
      <c r="E846" s="2"/>
      <c r="F846" s="2"/>
      <c r="G846" s="2"/>
      <c r="H846" s="2"/>
      <c r="I846" s="1"/>
      <c r="J846" s="2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1"/>
      <c r="C847" s="2"/>
      <c r="D847" s="2"/>
      <c r="E847" s="2"/>
      <c r="F847" s="2"/>
      <c r="G847" s="2"/>
      <c r="H847" s="2"/>
      <c r="I847" s="1"/>
      <c r="J847" s="2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1"/>
      <c r="C848" s="2"/>
      <c r="D848" s="2"/>
      <c r="E848" s="2"/>
      <c r="F848" s="2"/>
      <c r="G848" s="2"/>
      <c r="H848" s="2"/>
      <c r="I848" s="1"/>
      <c r="J848" s="2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1"/>
      <c r="C849" s="2"/>
      <c r="D849" s="2"/>
      <c r="E849" s="2"/>
      <c r="F849" s="2"/>
      <c r="G849" s="2"/>
      <c r="H849" s="2"/>
      <c r="I849" s="1"/>
      <c r="J849" s="2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1"/>
      <c r="C850" s="2"/>
      <c r="D850" s="2"/>
      <c r="E850" s="2"/>
      <c r="F850" s="2"/>
      <c r="G850" s="2"/>
      <c r="H850" s="2"/>
      <c r="I850" s="1"/>
      <c r="J850" s="2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1"/>
      <c r="C851" s="2"/>
      <c r="D851" s="2"/>
      <c r="E851" s="2"/>
      <c r="F851" s="2"/>
      <c r="G851" s="2"/>
      <c r="H851" s="2"/>
      <c r="I851" s="1"/>
      <c r="J851" s="2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1"/>
      <c r="C852" s="2"/>
      <c r="D852" s="2"/>
      <c r="E852" s="2"/>
      <c r="F852" s="2"/>
      <c r="G852" s="2"/>
      <c r="H852" s="2"/>
      <c r="I852" s="1"/>
      <c r="J852" s="2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1"/>
      <c r="C853" s="2"/>
      <c r="D853" s="2"/>
      <c r="E853" s="2"/>
      <c r="F853" s="2"/>
      <c r="G853" s="2"/>
      <c r="H853" s="2"/>
      <c r="I853" s="1"/>
      <c r="J853" s="2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1"/>
      <c r="C854" s="2"/>
      <c r="D854" s="2"/>
      <c r="E854" s="2"/>
      <c r="F854" s="2"/>
      <c r="G854" s="2"/>
      <c r="H854" s="2"/>
      <c r="I854" s="1"/>
      <c r="J854" s="2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1"/>
      <c r="C855" s="2"/>
      <c r="D855" s="2"/>
      <c r="E855" s="2"/>
      <c r="F855" s="2"/>
      <c r="G855" s="2"/>
      <c r="H855" s="2"/>
      <c r="I855" s="1"/>
      <c r="J855" s="2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1"/>
      <c r="C856" s="2"/>
      <c r="D856" s="2"/>
      <c r="E856" s="2"/>
      <c r="F856" s="2"/>
      <c r="G856" s="2"/>
      <c r="H856" s="2"/>
      <c r="I856" s="1"/>
      <c r="J856" s="2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1"/>
      <c r="C857" s="2"/>
      <c r="D857" s="2"/>
      <c r="E857" s="2"/>
      <c r="F857" s="2"/>
      <c r="G857" s="2"/>
      <c r="H857" s="2"/>
      <c r="I857" s="1"/>
      <c r="J857" s="2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1"/>
      <c r="C858" s="2"/>
      <c r="D858" s="2"/>
      <c r="E858" s="2"/>
      <c r="F858" s="2"/>
      <c r="G858" s="2"/>
      <c r="H858" s="2"/>
      <c r="I858" s="1"/>
      <c r="J858" s="2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1"/>
      <c r="C859" s="2"/>
      <c r="D859" s="2"/>
      <c r="E859" s="2"/>
      <c r="F859" s="2"/>
      <c r="G859" s="2"/>
      <c r="H859" s="2"/>
      <c r="I859" s="1"/>
      <c r="J859" s="2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1"/>
      <c r="C860" s="2"/>
      <c r="D860" s="2"/>
      <c r="E860" s="2"/>
      <c r="F860" s="2"/>
      <c r="G860" s="2"/>
      <c r="H860" s="2"/>
      <c r="I860" s="1"/>
      <c r="J860" s="2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1"/>
      <c r="C861" s="2"/>
      <c r="D861" s="2"/>
      <c r="E861" s="2"/>
      <c r="F861" s="2"/>
      <c r="G861" s="2"/>
      <c r="H861" s="2"/>
      <c r="I861" s="1"/>
      <c r="J861" s="2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1"/>
      <c r="C862" s="2"/>
      <c r="D862" s="2"/>
      <c r="E862" s="2"/>
      <c r="F862" s="2"/>
      <c r="G862" s="2"/>
      <c r="H862" s="2"/>
      <c r="I862" s="1"/>
      <c r="J862" s="2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1"/>
      <c r="C863" s="2"/>
      <c r="D863" s="2"/>
      <c r="E863" s="2"/>
      <c r="F863" s="2"/>
      <c r="G863" s="2"/>
      <c r="H863" s="2"/>
      <c r="I863" s="1"/>
      <c r="J863" s="2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1"/>
      <c r="C864" s="2"/>
      <c r="D864" s="2"/>
      <c r="E864" s="2"/>
      <c r="F864" s="2"/>
      <c r="G864" s="2"/>
      <c r="H864" s="2"/>
      <c r="I864" s="1"/>
      <c r="J864" s="2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1"/>
      <c r="C865" s="2"/>
      <c r="D865" s="2"/>
      <c r="E865" s="2"/>
      <c r="F865" s="2"/>
      <c r="G865" s="2"/>
      <c r="H865" s="2"/>
      <c r="I865" s="1"/>
      <c r="J865" s="2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1"/>
      <c r="C866" s="2"/>
      <c r="D866" s="2"/>
      <c r="E866" s="2"/>
      <c r="F866" s="2"/>
      <c r="G866" s="2"/>
      <c r="H866" s="2"/>
      <c r="I866" s="1"/>
      <c r="J866" s="2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1"/>
      <c r="C867" s="2"/>
      <c r="D867" s="2"/>
      <c r="E867" s="2"/>
      <c r="F867" s="2"/>
      <c r="G867" s="2"/>
      <c r="H867" s="2"/>
      <c r="I867" s="1"/>
      <c r="J867" s="2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1"/>
      <c r="C868" s="2"/>
      <c r="D868" s="2"/>
      <c r="E868" s="2"/>
      <c r="F868" s="2"/>
      <c r="G868" s="2"/>
      <c r="H868" s="2"/>
      <c r="I868" s="1"/>
      <c r="J868" s="2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1"/>
      <c r="C869" s="2"/>
      <c r="D869" s="2"/>
      <c r="E869" s="2"/>
      <c r="F869" s="2"/>
      <c r="G869" s="2"/>
      <c r="H869" s="2"/>
      <c r="I869" s="1"/>
      <c r="J869" s="2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1"/>
      <c r="C870" s="2"/>
      <c r="D870" s="2"/>
      <c r="E870" s="2"/>
      <c r="F870" s="2"/>
      <c r="G870" s="2"/>
      <c r="H870" s="2"/>
      <c r="I870" s="1"/>
      <c r="J870" s="2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1"/>
      <c r="C871" s="2"/>
      <c r="D871" s="2"/>
      <c r="E871" s="2"/>
      <c r="F871" s="2"/>
      <c r="G871" s="2"/>
      <c r="H871" s="2"/>
      <c r="I871" s="1"/>
      <c r="J871" s="2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1"/>
      <c r="C872" s="2"/>
      <c r="D872" s="2"/>
      <c r="E872" s="2"/>
      <c r="F872" s="2"/>
      <c r="G872" s="2"/>
      <c r="H872" s="2"/>
      <c r="I872" s="1"/>
      <c r="J872" s="2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1"/>
      <c r="C873" s="2"/>
      <c r="D873" s="2"/>
      <c r="E873" s="2"/>
      <c r="F873" s="2"/>
      <c r="G873" s="2"/>
      <c r="H873" s="2"/>
      <c r="I873" s="1"/>
      <c r="J873" s="2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1"/>
      <c r="C874" s="2"/>
      <c r="D874" s="2"/>
      <c r="E874" s="2"/>
      <c r="F874" s="2"/>
      <c r="G874" s="2"/>
      <c r="H874" s="2"/>
      <c r="I874" s="1"/>
      <c r="J874" s="2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1"/>
      <c r="C875" s="2"/>
      <c r="D875" s="2"/>
      <c r="E875" s="2"/>
      <c r="F875" s="2"/>
      <c r="G875" s="2"/>
      <c r="H875" s="2"/>
      <c r="I875" s="1"/>
      <c r="J875" s="2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1"/>
      <c r="C876" s="2"/>
      <c r="D876" s="2"/>
      <c r="E876" s="2"/>
      <c r="F876" s="2"/>
      <c r="G876" s="2"/>
      <c r="H876" s="2"/>
      <c r="I876" s="1"/>
      <c r="J876" s="2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1"/>
      <c r="C877" s="2"/>
      <c r="D877" s="2"/>
      <c r="E877" s="2"/>
      <c r="F877" s="2"/>
      <c r="G877" s="2"/>
      <c r="H877" s="2"/>
      <c r="I877" s="1"/>
      <c r="J877" s="2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1"/>
      <c r="C878" s="2"/>
      <c r="D878" s="2"/>
      <c r="E878" s="2"/>
      <c r="F878" s="2"/>
      <c r="G878" s="2"/>
      <c r="H878" s="2"/>
      <c r="I878" s="1"/>
      <c r="J878" s="2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1"/>
      <c r="C879" s="2"/>
      <c r="D879" s="2"/>
      <c r="E879" s="2"/>
      <c r="F879" s="2"/>
      <c r="G879" s="2"/>
      <c r="H879" s="2"/>
      <c r="I879" s="1"/>
      <c r="J879" s="2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1"/>
      <c r="C880" s="2"/>
      <c r="D880" s="2"/>
      <c r="E880" s="2"/>
      <c r="F880" s="2"/>
      <c r="G880" s="2"/>
      <c r="H880" s="2"/>
      <c r="I880" s="1"/>
      <c r="J880" s="2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1"/>
      <c r="C881" s="2"/>
      <c r="D881" s="2"/>
      <c r="E881" s="2"/>
      <c r="F881" s="2"/>
      <c r="G881" s="2"/>
      <c r="H881" s="2"/>
      <c r="I881" s="1"/>
      <c r="J881" s="2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1"/>
      <c r="C882" s="2"/>
      <c r="D882" s="2"/>
      <c r="E882" s="2"/>
      <c r="F882" s="2"/>
      <c r="G882" s="2"/>
      <c r="H882" s="2"/>
      <c r="I882" s="1"/>
      <c r="J882" s="2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1"/>
      <c r="C883" s="2"/>
      <c r="D883" s="2"/>
      <c r="E883" s="2"/>
      <c r="F883" s="2"/>
      <c r="G883" s="2"/>
      <c r="H883" s="2"/>
      <c r="I883" s="1"/>
      <c r="J883" s="2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1"/>
      <c r="C884" s="2"/>
      <c r="D884" s="2"/>
      <c r="E884" s="2"/>
      <c r="F884" s="2"/>
      <c r="G884" s="2"/>
      <c r="H884" s="2"/>
      <c r="I884" s="1"/>
      <c r="J884" s="2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1"/>
      <c r="C885" s="2"/>
      <c r="D885" s="2"/>
      <c r="E885" s="2"/>
      <c r="F885" s="2"/>
      <c r="G885" s="2"/>
      <c r="H885" s="2"/>
      <c r="I885" s="1"/>
      <c r="J885" s="2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1"/>
      <c r="C886" s="2"/>
      <c r="D886" s="2"/>
      <c r="E886" s="2"/>
      <c r="F886" s="2"/>
      <c r="G886" s="2"/>
      <c r="H886" s="2"/>
      <c r="I886" s="1"/>
      <c r="J886" s="2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1"/>
      <c r="C887" s="2"/>
      <c r="D887" s="2"/>
      <c r="E887" s="2"/>
      <c r="F887" s="2"/>
      <c r="G887" s="2"/>
      <c r="H887" s="2"/>
      <c r="I887" s="1"/>
      <c r="J887" s="2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1"/>
      <c r="C888" s="2"/>
      <c r="D888" s="2"/>
      <c r="E888" s="2"/>
      <c r="F888" s="2"/>
      <c r="G888" s="2"/>
      <c r="H888" s="2"/>
      <c r="I888" s="1"/>
      <c r="J888" s="2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1"/>
      <c r="C889" s="2"/>
      <c r="D889" s="2"/>
      <c r="E889" s="2"/>
      <c r="F889" s="2"/>
      <c r="G889" s="2"/>
      <c r="H889" s="2"/>
      <c r="I889" s="1"/>
      <c r="J889" s="2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1"/>
      <c r="C890" s="2"/>
      <c r="D890" s="2"/>
      <c r="E890" s="2"/>
      <c r="F890" s="2"/>
      <c r="G890" s="2"/>
      <c r="H890" s="2"/>
      <c r="I890" s="1"/>
      <c r="J890" s="2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1"/>
      <c r="C891" s="2"/>
      <c r="D891" s="2"/>
      <c r="E891" s="2"/>
      <c r="F891" s="2"/>
      <c r="G891" s="2"/>
      <c r="H891" s="2"/>
      <c r="I891" s="1"/>
      <c r="J891" s="2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1"/>
      <c r="C892" s="2"/>
      <c r="D892" s="2"/>
      <c r="E892" s="2"/>
      <c r="F892" s="2"/>
      <c r="G892" s="2"/>
      <c r="H892" s="2"/>
      <c r="I892" s="1"/>
      <c r="J892" s="2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1"/>
      <c r="C893" s="2"/>
      <c r="D893" s="2"/>
      <c r="E893" s="2"/>
      <c r="F893" s="2"/>
      <c r="G893" s="2"/>
      <c r="H893" s="2"/>
      <c r="I893" s="1"/>
      <c r="J893" s="2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1"/>
      <c r="C894" s="2"/>
      <c r="D894" s="2"/>
      <c r="E894" s="2"/>
      <c r="F894" s="2"/>
      <c r="G894" s="2"/>
      <c r="H894" s="2"/>
      <c r="I894" s="1"/>
      <c r="J894" s="2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1"/>
      <c r="C895" s="2"/>
      <c r="D895" s="2"/>
      <c r="E895" s="2"/>
      <c r="F895" s="2"/>
      <c r="G895" s="2"/>
      <c r="H895" s="2"/>
      <c r="I895" s="1"/>
      <c r="J895" s="2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1"/>
      <c r="C896" s="2"/>
      <c r="D896" s="2"/>
      <c r="E896" s="2"/>
      <c r="F896" s="2"/>
      <c r="G896" s="2"/>
      <c r="H896" s="2"/>
      <c r="I896" s="1"/>
      <c r="J896" s="2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1"/>
      <c r="C897" s="2"/>
      <c r="D897" s="2"/>
      <c r="E897" s="2"/>
      <c r="F897" s="2"/>
      <c r="G897" s="2"/>
      <c r="H897" s="2"/>
      <c r="I897" s="1"/>
      <c r="J897" s="2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1"/>
      <c r="C898" s="2"/>
      <c r="D898" s="2"/>
      <c r="E898" s="2"/>
      <c r="F898" s="2"/>
      <c r="G898" s="2"/>
      <c r="H898" s="2"/>
      <c r="I898" s="1"/>
      <c r="J898" s="2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1"/>
      <c r="C899" s="2"/>
      <c r="D899" s="2"/>
      <c r="E899" s="2"/>
      <c r="F899" s="2"/>
      <c r="G899" s="2"/>
      <c r="H899" s="2"/>
      <c r="I899" s="1"/>
      <c r="J899" s="2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1"/>
      <c r="C900" s="2"/>
      <c r="D900" s="2"/>
      <c r="E900" s="2"/>
      <c r="F900" s="2"/>
      <c r="G900" s="2"/>
      <c r="H900" s="2"/>
      <c r="I900" s="1"/>
      <c r="J900" s="2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1"/>
      <c r="C901" s="2"/>
      <c r="D901" s="2"/>
      <c r="E901" s="2"/>
      <c r="F901" s="2"/>
      <c r="G901" s="2"/>
      <c r="H901" s="2"/>
      <c r="I901" s="1"/>
      <c r="J901" s="2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1"/>
      <c r="C902" s="2"/>
      <c r="D902" s="2"/>
      <c r="E902" s="2"/>
      <c r="F902" s="2"/>
      <c r="G902" s="2"/>
      <c r="H902" s="2"/>
      <c r="I902" s="1"/>
      <c r="J902" s="2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1"/>
      <c r="C903" s="2"/>
      <c r="D903" s="2"/>
      <c r="E903" s="2"/>
      <c r="F903" s="2"/>
      <c r="G903" s="2"/>
      <c r="H903" s="2"/>
      <c r="I903" s="1"/>
      <c r="J903" s="2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1"/>
      <c r="C904" s="2"/>
      <c r="D904" s="2"/>
      <c r="E904" s="2"/>
      <c r="F904" s="2"/>
      <c r="G904" s="2"/>
      <c r="H904" s="2"/>
      <c r="I904" s="1"/>
      <c r="J904" s="2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1"/>
      <c r="C905" s="2"/>
      <c r="D905" s="2"/>
      <c r="E905" s="2"/>
      <c r="F905" s="2"/>
      <c r="G905" s="2"/>
      <c r="H905" s="2"/>
      <c r="I905" s="1"/>
      <c r="J905" s="2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1"/>
      <c r="C906" s="2"/>
      <c r="D906" s="2"/>
      <c r="E906" s="2"/>
      <c r="F906" s="2"/>
      <c r="G906" s="2"/>
      <c r="H906" s="2"/>
      <c r="I906" s="1"/>
      <c r="J906" s="2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1"/>
      <c r="C907" s="2"/>
      <c r="D907" s="2"/>
      <c r="E907" s="2"/>
      <c r="F907" s="2"/>
      <c r="G907" s="2"/>
      <c r="H907" s="2"/>
      <c r="I907" s="1"/>
      <c r="J907" s="2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1"/>
      <c r="C908" s="2"/>
      <c r="D908" s="2"/>
      <c r="E908" s="2"/>
      <c r="F908" s="2"/>
      <c r="G908" s="2"/>
      <c r="H908" s="2"/>
      <c r="I908" s="1"/>
      <c r="J908" s="2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1"/>
      <c r="C909" s="2"/>
      <c r="D909" s="2"/>
      <c r="E909" s="2"/>
      <c r="F909" s="2"/>
      <c r="G909" s="2"/>
      <c r="H909" s="2"/>
      <c r="I909" s="1"/>
      <c r="J909" s="2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1"/>
      <c r="C910" s="2"/>
      <c r="D910" s="2"/>
      <c r="E910" s="2"/>
      <c r="F910" s="2"/>
      <c r="G910" s="2"/>
      <c r="H910" s="2"/>
      <c r="I910" s="1"/>
      <c r="J910" s="2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1"/>
      <c r="C911" s="2"/>
      <c r="D911" s="2"/>
      <c r="E911" s="2"/>
      <c r="F911" s="2"/>
      <c r="G911" s="2"/>
      <c r="H911" s="2"/>
      <c r="I911" s="1"/>
      <c r="J911" s="2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1"/>
      <c r="C912" s="2"/>
      <c r="D912" s="2"/>
      <c r="E912" s="2"/>
      <c r="F912" s="2"/>
      <c r="G912" s="2"/>
      <c r="H912" s="2"/>
      <c r="I912" s="1"/>
      <c r="J912" s="2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1"/>
      <c r="C913" s="2"/>
      <c r="D913" s="2"/>
      <c r="E913" s="2"/>
      <c r="F913" s="2"/>
      <c r="G913" s="2"/>
      <c r="H913" s="2"/>
      <c r="I913" s="1"/>
      <c r="J913" s="2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1"/>
      <c r="C914" s="2"/>
      <c r="D914" s="2"/>
      <c r="E914" s="2"/>
      <c r="F914" s="2"/>
      <c r="G914" s="2"/>
      <c r="H914" s="2"/>
      <c r="I914" s="1"/>
      <c r="J914" s="2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1"/>
      <c r="C915" s="2"/>
      <c r="D915" s="2"/>
      <c r="E915" s="2"/>
      <c r="F915" s="2"/>
      <c r="G915" s="2"/>
      <c r="H915" s="2"/>
      <c r="I915" s="1"/>
      <c r="J915" s="2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1"/>
      <c r="C916" s="2"/>
      <c r="D916" s="2"/>
      <c r="E916" s="2"/>
      <c r="F916" s="2"/>
      <c r="G916" s="2"/>
      <c r="H916" s="2"/>
      <c r="I916" s="1"/>
      <c r="J916" s="2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1"/>
      <c r="C917" s="2"/>
      <c r="D917" s="2"/>
      <c r="E917" s="2"/>
      <c r="F917" s="2"/>
      <c r="G917" s="2"/>
      <c r="H917" s="2"/>
      <c r="I917" s="1"/>
      <c r="J917" s="2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1"/>
      <c r="C918" s="2"/>
      <c r="D918" s="2"/>
      <c r="E918" s="2"/>
      <c r="F918" s="2"/>
      <c r="G918" s="2"/>
      <c r="H918" s="2"/>
      <c r="I918" s="1"/>
      <c r="J918" s="2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1"/>
      <c r="C919" s="2"/>
      <c r="D919" s="2"/>
      <c r="E919" s="2"/>
      <c r="F919" s="2"/>
      <c r="G919" s="2"/>
      <c r="H919" s="2"/>
      <c r="I919" s="1"/>
      <c r="J919" s="2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1"/>
      <c r="C920" s="2"/>
      <c r="D920" s="2"/>
      <c r="E920" s="2"/>
      <c r="F920" s="2"/>
      <c r="G920" s="2"/>
      <c r="H920" s="2"/>
      <c r="I920" s="1"/>
      <c r="J920" s="2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1"/>
      <c r="C921" s="2"/>
      <c r="D921" s="2"/>
      <c r="E921" s="2"/>
      <c r="F921" s="2"/>
      <c r="G921" s="2"/>
      <c r="H921" s="2"/>
      <c r="I921" s="1"/>
      <c r="J921" s="2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1"/>
      <c r="C922" s="2"/>
      <c r="D922" s="2"/>
      <c r="E922" s="2"/>
      <c r="F922" s="2"/>
      <c r="G922" s="2"/>
      <c r="H922" s="2"/>
      <c r="I922" s="1"/>
      <c r="J922" s="2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1"/>
      <c r="C923" s="2"/>
      <c r="D923" s="2"/>
      <c r="E923" s="2"/>
      <c r="F923" s="2"/>
      <c r="G923" s="2"/>
      <c r="H923" s="2"/>
      <c r="I923" s="1"/>
      <c r="J923" s="2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1"/>
      <c r="C924" s="2"/>
      <c r="D924" s="2"/>
      <c r="E924" s="2"/>
      <c r="F924" s="2"/>
      <c r="G924" s="2"/>
      <c r="H924" s="2"/>
      <c r="I924" s="1"/>
      <c r="J924" s="2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1"/>
      <c r="C925" s="2"/>
      <c r="D925" s="2"/>
      <c r="E925" s="2"/>
      <c r="F925" s="2"/>
      <c r="G925" s="2"/>
      <c r="H925" s="2"/>
      <c r="I925" s="1"/>
      <c r="J925" s="2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1"/>
      <c r="C926" s="2"/>
      <c r="D926" s="2"/>
      <c r="E926" s="2"/>
      <c r="F926" s="2"/>
      <c r="G926" s="2"/>
      <c r="H926" s="2"/>
      <c r="I926" s="1"/>
      <c r="J926" s="2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1"/>
      <c r="C927" s="2"/>
      <c r="D927" s="2"/>
      <c r="E927" s="2"/>
      <c r="F927" s="2"/>
      <c r="G927" s="2"/>
      <c r="H927" s="2"/>
      <c r="I927" s="1"/>
      <c r="J927" s="2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1"/>
      <c r="C928" s="2"/>
      <c r="D928" s="2"/>
      <c r="E928" s="2"/>
      <c r="F928" s="2"/>
      <c r="G928" s="2"/>
      <c r="H928" s="2"/>
      <c r="I928" s="1"/>
      <c r="J928" s="2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1"/>
      <c r="C929" s="2"/>
      <c r="D929" s="2"/>
      <c r="E929" s="2"/>
      <c r="F929" s="2"/>
      <c r="G929" s="2"/>
      <c r="H929" s="2"/>
      <c r="I929" s="1"/>
      <c r="J929" s="2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1"/>
      <c r="C930" s="2"/>
      <c r="D930" s="2"/>
      <c r="E930" s="2"/>
      <c r="F930" s="2"/>
      <c r="G930" s="2"/>
      <c r="H930" s="2"/>
      <c r="I930" s="1"/>
      <c r="J930" s="2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1"/>
      <c r="C931" s="2"/>
      <c r="D931" s="2"/>
      <c r="E931" s="2"/>
      <c r="F931" s="2"/>
      <c r="G931" s="2"/>
      <c r="H931" s="2"/>
      <c r="I931" s="1"/>
      <c r="J931" s="2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1"/>
      <c r="C932" s="2"/>
      <c r="D932" s="2"/>
      <c r="E932" s="2"/>
      <c r="F932" s="2"/>
      <c r="G932" s="2"/>
      <c r="H932" s="2"/>
      <c r="I932" s="1"/>
      <c r="J932" s="2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1"/>
      <c r="C933" s="2"/>
      <c r="D933" s="2"/>
      <c r="E933" s="2"/>
      <c r="F933" s="2"/>
      <c r="G933" s="2"/>
      <c r="H933" s="2"/>
      <c r="I933" s="1"/>
      <c r="J933" s="2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1"/>
      <c r="C934" s="2"/>
      <c r="D934" s="2"/>
      <c r="E934" s="2"/>
      <c r="F934" s="2"/>
      <c r="G934" s="2"/>
      <c r="H934" s="2"/>
      <c r="I934" s="1"/>
      <c r="J934" s="2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1"/>
      <c r="C935" s="2"/>
      <c r="D935" s="2"/>
      <c r="E935" s="2"/>
      <c r="F935" s="2"/>
      <c r="G935" s="2"/>
      <c r="H935" s="2"/>
      <c r="I935" s="1"/>
      <c r="J935" s="2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1"/>
      <c r="C936" s="2"/>
      <c r="D936" s="2"/>
      <c r="E936" s="2"/>
      <c r="F936" s="2"/>
      <c r="G936" s="2"/>
      <c r="H936" s="2"/>
      <c r="I936" s="1"/>
      <c r="J936" s="2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1"/>
      <c r="C937" s="2"/>
      <c r="D937" s="2"/>
      <c r="E937" s="2"/>
      <c r="F937" s="2"/>
      <c r="G937" s="2"/>
      <c r="H937" s="2"/>
      <c r="I937" s="1"/>
      <c r="J937" s="2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1"/>
      <c r="C938" s="2"/>
      <c r="D938" s="2"/>
      <c r="E938" s="2"/>
      <c r="F938" s="2"/>
      <c r="G938" s="2"/>
      <c r="H938" s="2"/>
      <c r="I938" s="1"/>
      <c r="J938" s="2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1"/>
      <c r="C939" s="2"/>
      <c r="D939" s="2"/>
      <c r="E939" s="2"/>
      <c r="F939" s="2"/>
      <c r="G939" s="2"/>
      <c r="H939" s="2"/>
      <c r="I939" s="1"/>
      <c r="J939" s="2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1"/>
      <c r="C940" s="2"/>
      <c r="D940" s="2"/>
      <c r="E940" s="2"/>
      <c r="F940" s="2"/>
      <c r="G940" s="2"/>
      <c r="H940" s="2"/>
      <c r="I940" s="1"/>
      <c r="J940" s="2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1"/>
      <c r="C941" s="2"/>
      <c r="D941" s="2"/>
      <c r="E941" s="2"/>
      <c r="F941" s="2"/>
      <c r="G941" s="2"/>
      <c r="H941" s="2"/>
      <c r="I941" s="1"/>
      <c r="J941" s="2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1"/>
      <c r="C942" s="2"/>
      <c r="D942" s="2"/>
      <c r="E942" s="2"/>
      <c r="F942" s="2"/>
      <c r="G942" s="2"/>
      <c r="H942" s="2"/>
      <c r="I942" s="1"/>
      <c r="J942" s="2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1"/>
      <c r="C943" s="2"/>
      <c r="D943" s="2"/>
      <c r="E943" s="2"/>
      <c r="F943" s="2"/>
      <c r="G943" s="2"/>
      <c r="H943" s="2"/>
      <c r="I943" s="1"/>
      <c r="J943" s="2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1"/>
      <c r="C944" s="2"/>
      <c r="D944" s="2"/>
      <c r="E944" s="2"/>
      <c r="F944" s="2"/>
      <c r="G944" s="2"/>
      <c r="H944" s="2"/>
      <c r="I944" s="1"/>
      <c r="J944" s="2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1"/>
      <c r="C945" s="2"/>
      <c r="D945" s="2"/>
      <c r="E945" s="2"/>
      <c r="F945" s="2"/>
      <c r="G945" s="2"/>
      <c r="H945" s="2"/>
      <c r="I945" s="1"/>
      <c r="J945" s="2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1"/>
      <c r="C946" s="2"/>
      <c r="D946" s="2"/>
      <c r="E946" s="2"/>
      <c r="F946" s="2"/>
      <c r="G946" s="2"/>
      <c r="H946" s="2"/>
      <c r="I946" s="1"/>
      <c r="J946" s="2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1"/>
      <c r="C947" s="2"/>
      <c r="D947" s="2"/>
      <c r="E947" s="2"/>
      <c r="F947" s="2"/>
      <c r="G947" s="2"/>
      <c r="H947" s="2"/>
      <c r="I947" s="1"/>
      <c r="J947" s="2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1"/>
      <c r="C948" s="2"/>
      <c r="D948" s="2"/>
      <c r="E948" s="2"/>
      <c r="F948" s="2"/>
      <c r="G948" s="2"/>
      <c r="H948" s="2"/>
      <c r="I948" s="1"/>
      <c r="J948" s="2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1"/>
      <c r="C949" s="2"/>
      <c r="D949" s="2"/>
      <c r="E949" s="2"/>
      <c r="F949" s="2"/>
      <c r="G949" s="2"/>
      <c r="H949" s="2"/>
      <c r="I949" s="1"/>
      <c r="J949" s="2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1"/>
      <c r="C950" s="2"/>
      <c r="D950" s="2"/>
      <c r="E950" s="2"/>
      <c r="F950" s="2"/>
      <c r="G950" s="2"/>
      <c r="H950" s="2"/>
      <c r="I950" s="1"/>
      <c r="J950" s="2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1"/>
      <c r="C951" s="2"/>
      <c r="D951" s="2"/>
      <c r="E951" s="2"/>
      <c r="F951" s="2"/>
      <c r="G951" s="2"/>
      <c r="H951" s="2"/>
      <c r="I951" s="1"/>
      <c r="J951" s="2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1"/>
      <c r="C952" s="2"/>
      <c r="D952" s="2"/>
      <c r="E952" s="2"/>
      <c r="F952" s="2"/>
      <c r="G952" s="2"/>
      <c r="H952" s="2"/>
      <c r="I952" s="1"/>
      <c r="J952" s="2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1"/>
      <c r="C953" s="2"/>
      <c r="D953" s="2"/>
      <c r="E953" s="2"/>
      <c r="F953" s="2"/>
      <c r="G953" s="2"/>
      <c r="H953" s="2"/>
      <c r="I953" s="1"/>
      <c r="J953" s="2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1"/>
      <c r="C954" s="2"/>
      <c r="D954" s="2"/>
      <c r="E954" s="2"/>
      <c r="F954" s="2"/>
      <c r="G954" s="2"/>
      <c r="H954" s="2"/>
      <c r="I954" s="1"/>
      <c r="J954" s="2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1"/>
      <c r="C955" s="2"/>
      <c r="D955" s="2"/>
      <c r="E955" s="2"/>
      <c r="F955" s="2"/>
      <c r="G955" s="2"/>
      <c r="H955" s="2"/>
      <c r="I955" s="1"/>
      <c r="J955" s="2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1"/>
      <c r="C956" s="2"/>
      <c r="D956" s="2"/>
      <c r="E956" s="2"/>
      <c r="F956" s="2"/>
      <c r="G956" s="2"/>
      <c r="H956" s="2"/>
      <c r="I956" s="1"/>
      <c r="J956" s="2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1"/>
      <c r="C957" s="2"/>
      <c r="D957" s="2"/>
      <c r="E957" s="2"/>
      <c r="F957" s="2"/>
      <c r="G957" s="2"/>
      <c r="H957" s="2"/>
      <c r="I957" s="1"/>
      <c r="J957" s="2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1"/>
      <c r="C958" s="2"/>
      <c r="D958" s="2"/>
      <c r="E958" s="2"/>
      <c r="F958" s="2"/>
      <c r="G958" s="2"/>
      <c r="H958" s="2"/>
      <c r="I958" s="1"/>
      <c r="J958" s="2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1"/>
      <c r="C959" s="2"/>
      <c r="D959" s="2"/>
      <c r="E959" s="2"/>
      <c r="F959" s="2"/>
      <c r="G959" s="2"/>
      <c r="H959" s="2"/>
      <c r="I959" s="1"/>
      <c r="J959" s="2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1"/>
      <c r="C960" s="2"/>
      <c r="D960" s="2"/>
      <c r="E960" s="2"/>
      <c r="F960" s="2"/>
      <c r="G960" s="2"/>
      <c r="H960" s="2"/>
      <c r="I960" s="1"/>
      <c r="J960" s="2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1"/>
      <c r="C961" s="2"/>
      <c r="D961" s="2"/>
      <c r="E961" s="2"/>
      <c r="F961" s="2"/>
      <c r="G961" s="2"/>
      <c r="H961" s="2"/>
      <c r="I961" s="1"/>
      <c r="J961" s="2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1"/>
      <c r="C962" s="2"/>
      <c r="D962" s="2"/>
      <c r="E962" s="2"/>
      <c r="F962" s="2"/>
      <c r="G962" s="2"/>
      <c r="H962" s="2"/>
      <c r="I962" s="1"/>
      <c r="J962" s="2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1"/>
      <c r="C963" s="2"/>
      <c r="D963" s="2"/>
      <c r="E963" s="2"/>
      <c r="F963" s="2"/>
      <c r="G963" s="2"/>
      <c r="H963" s="2"/>
      <c r="I963" s="1"/>
      <c r="J963" s="2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1"/>
      <c r="C964" s="2"/>
      <c r="D964" s="2"/>
      <c r="E964" s="2"/>
      <c r="F964" s="2"/>
      <c r="G964" s="2"/>
      <c r="H964" s="2"/>
      <c r="I964" s="1"/>
      <c r="J964" s="2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1"/>
      <c r="C965" s="2"/>
      <c r="D965" s="2"/>
      <c r="E965" s="2"/>
      <c r="F965" s="2"/>
      <c r="G965" s="2"/>
      <c r="H965" s="2"/>
      <c r="I965" s="1"/>
      <c r="J965" s="2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1"/>
      <c r="C966" s="2"/>
      <c r="D966" s="2"/>
      <c r="E966" s="2"/>
      <c r="F966" s="2"/>
      <c r="G966" s="2"/>
      <c r="H966" s="2"/>
      <c r="I966" s="1"/>
      <c r="J966" s="2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1"/>
      <c r="C967" s="2"/>
      <c r="D967" s="2"/>
      <c r="E967" s="2"/>
      <c r="F967" s="2"/>
      <c r="G967" s="2"/>
      <c r="H967" s="2"/>
      <c r="I967" s="1"/>
      <c r="J967" s="2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1"/>
      <c r="C968" s="2"/>
      <c r="D968" s="2"/>
      <c r="E968" s="2"/>
      <c r="F968" s="2"/>
      <c r="G968" s="2"/>
      <c r="H968" s="2"/>
      <c r="I968" s="1"/>
      <c r="J968" s="2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1"/>
      <c r="C969" s="2"/>
      <c r="D969" s="2"/>
      <c r="E969" s="2"/>
      <c r="F969" s="2"/>
      <c r="G969" s="2"/>
      <c r="H969" s="2"/>
      <c r="I969" s="1"/>
      <c r="J969" s="2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1"/>
      <c r="C970" s="2"/>
      <c r="D970" s="2"/>
      <c r="E970" s="2"/>
      <c r="F970" s="2"/>
      <c r="G970" s="2"/>
      <c r="H970" s="2"/>
      <c r="I970" s="1"/>
      <c r="J970" s="2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1"/>
      <c r="C971" s="2"/>
      <c r="D971" s="2"/>
      <c r="E971" s="2"/>
      <c r="F971" s="2"/>
      <c r="G971" s="2"/>
      <c r="H971" s="2"/>
      <c r="I971" s="1"/>
      <c r="J971" s="2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1"/>
      <c r="C972" s="2"/>
      <c r="D972" s="2"/>
      <c r="E972" s="2"/>
      <c r="F972" s="2"/>
      <c r="G972" s="2"/>
      <c r="H972" s="2"/>
      <c r="I972" s="1"/>
      <c r="J972" s="2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1"/>
      <c r="C973" s="2"/>
      <c r="D973" s="2"/>
      <c r="E973" s="2"/>
      <c r="F973" s="2"/>
      <c r="G973" s="2"/>
      <c r="H973" s="2"/>
      <c r="I973" s="1"/>
      <c r="J973" s="2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1"/>
      <c r="C974" s="2"/>
      <c r="D974" s="2"/>
      <c r="E974" s="2"/>
      <c r="F974" s="2"/>
      <c r="G974" s="2"/>
      <c r="H974" s="2"/>
      <c r="I974" s="1"/>
      <c r="J974" s="2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1"/>
      <c r="C975" s="2"/>
      <c r="D975" s="2"/>
      <c r="E975" s="2"/>
      <c r="F975" s="2"/>
      <c r="G975" s="2"/>
      <c r="H975" s="2"/>
      <c r="I975" s="1"/>
      <c r="J975" s="2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1"/>
      <c r="C976" s="2"/>
      <c r="D976" s="2"/>
      <c r="E976" s="2"/>
      <c r="F976" s="2"/>
      <c r="G976" s="2"/>
      <c r="H976" s="2"/>
      <c r="I976" s="1"/>
      <c r="J976" s="2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1"/>
      <c r="C977" s="2"/>
      <c r="D977" s="2"/>
      <c r="E977" s="2"/>
      <c r="F977" s="2"/>
      <c r="G977" s="2"/>
      <c r="H977" s="2"/>
      <c r="I977" s="1"/>
      <c r="J977" s="2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1"/>
      <c r="C978" s="2"/>
      <c r="D978" s="2"/>
      <c r="E978" s="2"/>
      <c r="F978" s="2"/>
      <c r="G978" s="2"/>
      <c r="H978" s="2"/>
      <c r="I978" s="1"/>
      <c r="J978" s="2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1"/>
      <c r="C979" s="2"/>
      <c r="D979" s="2"/>
      <c r="E979" s="2"/>
      <c r="F979" s="2"/>
      <c r="G979" s="2"/>
      <c r="H979" s="2"/>
      <c r="I979" s="1"/>
      <c r="J979" s="2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1"/>
      <c r="C980" s="2"/>
      <c r="D980" s="2"/>
      <c r="E980" s="2"/>
      <c r="F980" s="2"/>
      <c r="G980" s="2"/>
      <c r="H980" s="2"/>
      <c r="I980" s="1"/>
      <c r="J980" s="2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1"/>
      <c r="C981" s="2"/>
      <c r="D981" s="2"/>
      <c r="E981" s="2"/>
      <c r="F981" s="2"/>
      <c r="G981" s="2"/>
      <c r="H981" s="2"/>
      <c r="I981" s="1"/>
      <c r="J981" s="2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1"/>
      <c r="C982" s="2"/>
      <c r="D982" s="2"/>
      <c r="E982" s="2"/>
      <c r="F982" s="2"/>
      <c r="G982" s="2"/>
      <c r="H982" s="2"/>
      <c r="I982" s="1"/>
      <c r="J982" s="2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1"/>
      <c r="C983" s="2"/>
      <c r="D983" s="2"/>
      <c r="E983" s="2"/>
      <c r="F983" s="2"/>
      <c r="G983" s="2"/>
      <c r="H983" s="2"/>
      <c r="I983" s="1"/>
      <c r="J983" s="2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1"/>
      <c r="C984" s="2"/>
      <c r="D984" s="2"/>
      <c r="E984" s="2"/>
      <c r="F984" s="2"/>
      <c r="G984" s="2"/>
      <c r="H984" s="2"/>
      <c r="I984" s="1"/>
      <c r="J984" s="2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1"/>
      <c r="C985" s="2"/>
      <c r="D985" s="2"/>
      <c r="E985" s="2"/>
      <c r="F985" s="2"/>
      <c r="G985" s="2"/>
      <c r="H985" s="2"/>
      <c r="I985" s="1"/>
      <c r="J985" s="2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1"/>
      <c r="C986" s="2"/>
      <c r="D986" s="2"/>
      <c r="E986" s="2"/>
      <c r="F986" s="2"/>
      <c r="G986" s="2"/>
      <c r="H986" s="2"/>
      <c r="I986" s="1"/>
      <c r="J986" s="2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1"/>
      <c r="C987" s="2"/>
      <c r="D987" s="2"/>
      <c r="E987" s="2"/>
      <c r="F987" s="2"/>
      <c r="G987" s="2"/>
      <c r="H987" s="2"/>
      <c r="I987" s="1"/>
      <c r="J987" s="2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1"/>
      <c r="C988" s="2"/>
      <c r="D988" s="2"/>
      <c r="E988" s="2"/>
      <c r="F988" s="2"/>
      <c r="G988" s="2"/>
      <c r="H988" s="2"/>
      <c r="I988" s="1"/>
      <c r="J988" s="2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1"/>
      <c r="C989" s="2"/>
      <c r="D989" s="2"/>
      <c r="E989" s="2"/>
      <c r="F989" s="2"/>
      <c r="G989" s="2"/>
      <c r="H989" s="2"/>
      <c r="I989" s="1"/>
      <c r="J989" s="2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1"/>
      <c r="C990" s="2"/>
      <c r="D990" s="2"/>
      <c r="E990" s="2"/>
      <c r="F990" s="2"/>
      <c r="G990" s="2"/>
      <c r="H990" s="2"/>
      <c r="I990" s="1"/>
      <c r="J990" s="2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1"/>
      <c r="C991" s="2"/>
      <c r="D991" s="2"/>
      <c r="E991" s="2"/>
      <c r="F991" s="2"/>
      <c r="G991" s="2"/>
      <c r="H991" s="2"/>
      <c r="I991" s="1"/>
      <c r="J991" s="2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1"/>
      <c r="C992" s="2"/>
      <c r="D992" s="2"/>
      <c r="E992" s="2"/>
      <c r="F992" s="2"/>
      <c r="G992" s="2"/>
      <c r="H992" s="2"/>
      <c r="I992" s="1"/>
      <c r="J992" s="2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1"/>
      <c r="C993" s="2"/>
      <c r="D993" s="2"/>
      <c r="E993" s="2"/>
      <c r="F993" s="2"/>
      <c r="G993" s="2"/>
      <c r="H993" s="2"/>
      <c r="I993" s="1"/>
      <c r="J993" s="2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1"/>
      <c r="C994" s="2"/>
      <c r="D994" s="2"/>
      <c r="E994" s="2"/>
      <c r="F994" s="2"/>
      <c r="G994" s="2"/>
      <c r="H994" s="2"/>
      <c r="I994" s="1"/>
      <c r="J994" s="2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1"/>
      <c r="C995" s="2"/>
      <c r="D995" s="2"/>
      <c r="E995" s="2"/>
      <c r="F995" s="2"/>
      <c r="G995" s="2"/>
      <c r="H995" s="2"/>
      <c r="I995" s="1"/>
      <c r="J995" s="2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1"/>
      <c r="C996" s="2"/>
      <c r="D996" s="2"/>
      <c r="E996" s="2"/>
      <c r="F996" s="2"/>
      <c r="G996" s="2"/>
      <c r="H996" s="2"/>
      <c r="I996" s="1"/>
      <c r="J996" s="2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1"/>
      <c r="C997" s="2"/>
      <c r="D997" s="2"/>
      <c r="E997" s="2"/>
      <c r="F997" s="2"/>
      <c r="G997" s="2"/>
      <c r="H997" s="2"/>
      <c r="I997" s="1"/>
      <c r="J997" s="2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1"/>
      <c r="C998" s="2"/>
      <c r="D998" s="2"/>
      <c r="E998" s="2"/>
      <c r="F998" s="2"/>
      <c r="G998" s="2"/>
      <c r="H998" s="2"/>
      <c r="I998" s="1"/>
      <c r="J998" s="2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1"/>
      <c r="C999" s="2"/>
      <c r="D999" s="2"/>
      <c r="E999" s="2"/>
      <c r="F999" s="2"/>
      <c r="G999" s="2"/>
      <c r="H999" s="2"/>
      <c r="I999" s="1"/>
      <c r="J999" s="2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1"/>
      <c r="C1000" s="2"/>
      <c r="D1000" s="2"/>
      <c r="E1000" s="2"/>
      <c r="F1000" s="2"/>
      <c r="G1000" s="2"/>
      <c r="H1000" s="2"/>
      <c r="I1000" s="1"/>
      <c r="J1000" s="2"/>
      <c r="K1000" s="1"/>
      <c r="L1000" s="1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1"/>
      <c r="C1001" s="2"/>
      <c r="D1001" s="2"/>
      <c r="E1001" s="2"/>
      <c r="F1001" s="2"/>
      <c r="G1001" s="2"/>
      <c r="H1001" s="2"/>
      <c r="I1001" s="1"/>
      <c r="J1001" s="2"/>
      <c r="K1001" s="1"/>
      <c r="L1001" s="1"/>
      <c r="M1001" s="1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">
      <c r="A1002" s="2"/>
      <c r="B1002" s="1"/>
      <c r="C1002" s="2"/>
      <c r="D1002" s="2"/>
      <c r="E1002" s="2"/>
      <c r="F1002" s="2"/>
      <c r="G1002" s="2"/>
      <c r="H1002" s="2"/>
      <c r="I1002" s="1"/>
      <c r="J1002" s="2"/>
      <c r="K1002" s="1"/>
      <c r="L1002" s="1"/>
      <c r="M1002" s="1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">
      <c r="A1003" s="2"/>
      <c r="B1003" s="1"/>
      <c r="C1003" s="2"/>
      <c r="D1003" s="2"/>
      <c r="E1003" s="2"/>
      <c r="F1003" s="2"/>
      <c r="G1003" s="2"/>
      <c r="H1003" s="2"/>
      <c r="I1003" s="1"/>
      <c r="J1003" s="2"/>
      <c r="K1003" s="1"/>
      <c r="L1003" s="1"/>
      <c r="M1003" s="1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">
      <c r="A1004" s="2"/>
      <c r="B1004" s="1"/>
      <c r="C1004" s="2"/>
      <c r="D1004" s="2"/>
      <c r="E1004" s="2"/>
      <c r="F1004" s="2"/>
      <c r="G1004" s="2"/>
      <c r="H1004" s="2"/>
      <c r="I1004" s="1"/>
      <c r="J1004" s="2"/>
      <c r="K1004" s="1"/>
      <c r="L1004" s="1"/>
      <c r="M1004" s="1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">
      <c r="A1005" s="2"/>
      <c r="B1005" s="1"/>
      <c r="C1005" s="2"/>
      <c r="D1005" s="2"/>
      <c r="E1005" s="2"/>
      <c r="F1005" s="2"/>
      <c r="G1005" s="2"/>
      <c r="H1005" s="2"/>
      <c r="I1005" s="1"/>
      <c r="J1005" s="2"/>
      <c r="K1005" s="1"/>
      <c r="L1005" s="1"/>
      <c r="M1005" s="1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">
      <c r="A1006" s="2"/>
      <c r="B1006" s="1"/>
      <c r="C1006" s="2"/>
      <c r="D1006" s="2"/>
      <c r="E1006" s="2"/>
      <c r="F1006" s="2"/>
      <c r="G1006" s="2"/>
      <c r="H1006" s="2"/>
      <c r="I1006" s="1"/>
      <c r="J1006" s="2"/>
      <c r="K1006" s="1"/>
      <c r="L1006" s="1"/>
      <c r="M1006" s="1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">
      <c r="A1007" s="2"/>
      <c r="B1007" s="1"/>
      <c r="C1007" s="2"/>
      <c r="D1007" s="2"/>
      <c r="E1007" s="2"/>
      <c r="F1007" s="2"/>
      <c r="G1007" s="2"/>
      <c r="H1007" s="2"/>
      <c r="I1007" s="1"/>
      <c r="J1007" s="2"/>
      <c r="K1007" s="1"/>
      <c r="L1007" s="1"/>
      <c r="M1007" s="1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">
      <c r="A1008" s="2"/>
      <c r="B1008" s="1"/>
      <c r="C1008" s="2"/>
      <c r="D1008" s="2"/>
      <c r="E1008" s="2"/>
      <c r="F1008" s="2"/>
      <c r="G1008" s="2"/>
      <c r="H1008" s="2"/>
      <c r="I1008" s="1"/>
      <c r="J1008" s="2"/>
      <c r="K1008" s="1"/>
      <c r="L1008" s="1"/>
      <c r="M1008" s="1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">
      <c r="A1009" s="2"/>
      <c r="B1009" s="1"/>
      <c r="C1009" s="2"/>
      <c r="D1009" s="2"/>
      <c r="E1009" s="2"/>
      <c r="F1009" s="2"/>
      <c r="G1009" s="2"/>
      <c r="H1009" s="2"/>
      <c r="I1009" s="1"/>
      <c r="J1009" s="2"/>
      <c r="K1009" s="1"/>
      <c r="L1009" s="1"/>
      <c r="M1009" s="1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">
      <c r="A1010" s="2"/>
      <c r="B1010" s="1"/>
      <c r="C1010" s="2"/>
      <c r="D1010" s="2"/>
      <c r="E1010" s="2"/>
      <c r="F1010" s="2"/>
      <c r="G1010" s="2"/>
      <c r="H1010" s="2"/>
      <c r="I1010" s="1"/>
      <c r="J1010" s="2"/>
      <c r="K1010" s="1"/>
      <c r="L1010" s="1"/>
      <c r="M1010" s="1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">
      <c r="A1011" s="2"/>
      <c r="B1011" s="1"/>
      <c r="C1011" s="2"/>
      <c r="D1011" s="2"/>
      <c r="E1011" s="2"/>
      <c r="F1011" s="2"/>
      <c r="G1011" s="2"/>
      <c r="H1011" s="2"/>
      <c r="I1011" s="1"/>
      <c r="J1011" s="2"/>
      <c r="K1011" s="1"/>
      <c r="L1011" s="1"/>
      <c r="M1011" s="1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">
      <c r="A1012" s="2"/>
      <c r="B1012" s="1"/>
      <c r="C1012" s="2"/>
      <c r="D1012" s="2"/>
      <c r="E1012" s="2"/>
      <c r="F1012" s="2"/>
      <c r="G1012" s="2"/>
      <c r="H1012" s="2"/>
      <c r="I1012" s="1"/>
      <c r="J1012" s="2"/>
      <c r="K1012" s="1"/>
      <c r="L1012" s="1"/>
      <c r="M1012" s="1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">
      <c r="A1013" s="2"/>
      <c r="B1013" s="1"/>
      <c r="C1013" s="2"/>
      <c r="D1013" s="2"/>
      <c r="E1013" s="2"/>
      <c r="F1013" s="2"/>
      <c r="G1013" s="2"/>
      <c r="H1013" s="2"/>
      <c r="I1013" s="1"/>
      <c r="J1013" s="2"/>
      <c r="K1013" s="1"/>
      <c r="L1013" s="1"/>
      <c r="M1013" s="1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">
      <c r="A1014" s="2"/>
      <c r="B1014" s="1"/>
      <c r="C1014" s="2"/>
      <c r="D1014" s="2"/>
      <c r="E1014" s="2"/>
      <c r="F1014" s="2"/>
      <c r="G1014" s="2"/>
      <c r="H1014" s="2"/>
      <c r="I1014" s="1"/>
      <c r="J1014" s="2"/>
      <c r="K1014" s="1"/>
      <c r="L1014" s="1"/>
      <c r="M1014" s="1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">
      <c r="A1015" s="2"/>
      <c r="B1015" s="1"/>
      <c r="C1015" s="2"/>
      <c r="D1015" s="2"/>
      <c r="E1015" s="2"/>
      <c r="F1015" s="2"/>
      <c r="G1015" s="2"/>
      <c r="H1015" s="2"/>
      <c r="I1015" s="1"/>
      <c r="J1015" s="2"/>
      <c r="K1015" s="1"/>
      <c r="L1015" s="1"/>
      <c r="M1015" s="1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">
      <c r="A1016" s="2"/>
      <c r="B1016" s="1"/>
      <c r="C1016" s="2"/>
      <c r="D1016" s="2"/>
      <c r="E1016" s="2"/>
      <c r="F1016" s="2"/>
      <c r="G1016" s="2"/>
      <c r="H1016" s="2"/>
      <c r="I1016" s="1"/>
      <c r="J1016" s="2"/>
      <c r="K1016" s="1"/>
      <c r="L1016" s="1"/>
      <c r="M1016" s="1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">
      <c r="A1017" s="2"/>
      <c r="B1017" s="1"/>
      <c r="C1017" s="2"/>
      <c r="D1017" s="2"/>
      <c r="E1017" s="2"/>
      <c r="F1017" s="2"/>
      <c r="G1017" s="2"/>
      <c r="H1017" s="2"/>
      <c r="I1017" s="1"/>
      <c r="J1017" s="2"/>
      <c r="K1017" s="1"/>
      <c r="L1017" s="1"/>
      <c r="M1017" s="1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">
      <c r="A1018" s="2"/>
      <c r="B1018" s="1"/>
      <c r="C1018" s="2"/>
      <c r="D1018" s="2"/>
      <c r="E1018" s="2"/>
      <c r="F1018" s="2"/>
      <c r="G1018" s="2"/>
      <c r="H1018" s="2"/>
      <c r="I1018" s="1"/>
      <c r="J1018" s="2"/>
      <c r="K1018" s="1"/>
      <c r="L1018" s="1"/>
      <c r="M1018" s="1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2">
      <c r="A1019" s="2"/>
      <c r="B1019" s="1"/>
      <c r="C1019" s="2"/>
      <c r="D1019" s="2"/>
      <c r="E1019" s="2"/>
      <c r="F1019" s="2"/>
      <c r="G1019" s="2"/>
      <c r="H1019" s="2"/>
      <c r="I1019" s="1"/>
      <c r="J1019" s="2"/>
      <c r="K1019" s="1"/>
      <c r="L1019" s="1"/>
      <c r="M1019" s="1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2">
      <c r="A1020" s="2"/>
      <c r="B1020" s="1"/>
      <c r="C1020" s="2"/>
      <c r="D1020" s="2"/>
      <c r="E1020" s="2"/>
      <c r="F1020" s="2"/>
      <c r="G1020" s="2"/>
      <c r="H1020" s="2"/>
      <c r="I1020" s="1"/>
      <c r="J1020" s="2"/>
      <c r="K1020" s="1"/>
      <c r="L1020" s="1"/>
      <c r="M1020" s="1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2">
      <c r="A1021" s="2"/>
      <c r="B1021" s="1"/>
      <c r="C1021" s="2"/>
      <c r="D1021" s="2"/>
      <c r="E1021" s="2"/>
      <c r="F1021" s="2"/>
      <c r="G1021" s="2"/>
      <c r="H1021" s="2"/>
      <c r="I1021" s="1"/>
      <c r="J1021" s="2"/>
      <c r="K1021" s="1"/>
      <c r="L1021" s="1"/>
      <c r="M1021" s="1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2">
      <c r="A1022" s="2"/>
      <c r="B1022" s="1"/>
      <c r="C1022" s="2"/>
      <c r="D1022" s="2"/>
      <c r="E1022" s="2"/>
      <c r="F1022" s="2"/>
      <c r="G1022" s="2"/>
      <c r="H1022" s="2"/>
      <c r="I1022" s="1"/>
      <c r="J1022" s="2"/>
      <c r="K1022" s="1"/>
      <c r="L1022" s="1"/>
      <c r="M1022" s="1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2">
      <c r="A1023" s="2"/>
      <c r="B1023" s="1"/>
      <c r="C1023" s="2"/>
      <c r="D1023" s="2"/>
      <c r="E1023" s="2"/>
      <c r="F1023" s="2"/>
      <c r="G1023" s="2"/>
      <c r="H1023" s="2"/>
      <c r="I1023" s="1"/>
      <c r="J1023" s="2"/>
      <c r="K1023" s="1"/>
      <c r="L1023" s="1"/>
      <c r="M1023" s="1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2">
      <c r="A1024" s="2"/>
      <c r="B1024" s="1"/>
      <c r="C1024" s="2"/>
      <c r="D1024" s="2"/>
      <c r="E1024" s="2"/>
      <c r="F1024" s="2"/>
      <c r="G1024" s="2"/>
      <c r="H1024" s="2"/>
      <c r="I1024" s="1"/>
      <c r="J1024" s="2"/>
      <c r="K1024" s="1"/>
      <c r="L1024" s="1"/>
      <c r="M1024" s="1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2">
      <c r="A1025" s="2"/>
      <c r="B1025" s="1"/>
      <c r="C1025" s="2"/>
      <c r="D1025" s="2"/>
      <c r="E1025" s="2"/>
      <c r="F1025" s="2"/>
      <c r="G1025" s="2"/>
      <c r="H1025" s="2"/>
      <c r="I1025" s="1"/>
      <c r="J1025" s="2"/>
      <c r="K1025" s="1"/>
      <c r="L1025" s="1"/>
      <c r="M1025" s="1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2">
      <c r="A1026" s="2"/>
      <c r="B1026" s="1"/>
      <c r="C1026" s="2"/>
      <c r="D1026" s="2"/>
      <c r="E1026" s="2"/>
      <c r="F1026" s="2"/>
      <c r="G1026" s="2"/>
      <c r="H1026" s="2"/>
      <c r="I1026" s="1"/>
      <c r="J1026" s="2"/>
      <c r="K1026" s="1"/>
      <c r="L1026" s="1"/>
      <c r="M1026" s="1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2">
      <c r="A1027" s="2"/>
      <c r="B1027" s="1"/>
      <c r="C1027" s="2"/>
      <c r="D1027" s="2"/>
      <c r="E1027" s="2"/>
      <c r="F1027" s="2"/>
      <c r="G1027" s="2"/>
      <c r="H1027" s="2"/>
      <c r="I1027" s="1"/>
      <c r="J1027" s="2"/>
      <c r="K1027" s="1"/>
      <c r="L1027" s="1"/>
      <c r="M1027" s="1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2">
      <c r="A1028" s="2"/>
      <c r="B1028" s="1"/>
      <c r="C1028" s="2"/>
      <c r="D1028" s="2"/>
      <c r="E1028" s="2"/>
      <c r="F1028" s="2"/>
      <c r="G1028" s="2"/>
      <c r="H1028" s="2"/>
      <c r="I1028" s="1"/>
      <c r="J1028" s="2"/>
      <c r="K1028" s="1"/>
      <c r="L1028" s="1"/>
      <c r="M1028" s="1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2">
      <c r="A1029" s="2"/>
      <c r="B1029" s="1"/>
      <c r="C1029" s="2"/>
      <c r="D1029" s="2"/>
      <c r="E1029" s="2"/>
      <c r="F1029" s="2"/>
      <c r="G1029" s="2"/>
      <c r="H1029" s="2"/>
      <c r="I1029" s="1"/>
      <c r="J1029" s="2"/>
      <c r="K1029" s="1"/>
      <c r="L1029" s="1"/>
      <c r="M1029" s="1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2">
      <c r="A1030" s="2"/>
      <c r="B1030" s="1"/>
      <c r="C1030" s="2"/>
      <c r="D1030" s="2"/>
      <c r="E1030" s="2"/>
      <c r="F1030" s="2"/>
      <c r="G1030" s="2"/>
      <c r="H1030" s="2"/>
      <c r="I1030" s="1"/>
      <c r="J1030" s="2"/>
      <c r="K1030" s="1"/>
      <c r="L1030" s="1"/>
      <c r="M1030" s="1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2">
      <c r="A1031" s="2"/>
      <c r="B1031" s="1"/>
      <c r="C1031" s="2"/>
      <c r="D1031" s="2"/>
      <c r="E1031" s="2"/>
      <c r="F1031" s="2"/>
      <c r="G1031" s="2"/>
      <c r="H1031" s="2"/>
      <c r="I1031" s="1"/>
      <c r="J1031" s="2"/>
      <c r="K1031" s="1"/>
      <c r="L1031" s="1"/>
      <c r="M1031" s="1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2">
      <c r="A1032" s="2"/>
      <c r="B1032" s="1"/>
      <c r="C1032" s="2"/>
      <c r="D1032" s="2"/>
      <c r="E1032" s="2"/>
      <c r="F1032" s="2"/>
      <c r="G1032" s="2"/>
      <c r="H1032" s="2"/>
      <c r="I1032" s="1"/>
      <c r="J1032" s="2"/>
      <c r="K1032" s="1"/>
      <c r="L1032" s="1"/>
      <c r="M1032" s="1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2">
      <c r="A1033" s="2"/>
      <c r="B1033" s="1"/>
      <c r="C1033" s="2"/>
      <c r="D1033" s="2"/>
      <c r="E1033" s="2"/>
      <c r="F1033" s="2"/>
      <c r="G1033" s="2"/>
      <c r="H1033" s="2"/>
      <c r="I1033" s="1"/>
      <c r="J1033" s="2"/>
      <c r="K1033" s="1"/>
      <c r="L1033" s="1"/>
      <c r="M1033" s="1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2">
      <c r="A1034" s="2"/>
      <c r="B1034" s="1"/>
      <c r="C1034" s="2"/>
      <c r="D1034" s="2"/>
      <c r="E1034" s="2"/>
      <c r="F1034" s="2"/>
      <c r="G1034" s="2"/>
      <c r="H1034" s="2"/>
      <c r="I1034" s="1"/>
      <c r="J1034" s="2"/>
      <c r="K1034" s="1"/>
      <c r="L1034" s="1"/>
      <c r="M1034" s="1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2">
      <c r="A1035" s="2"/>
      <c r="B1035" s="1"/>
      <c r="C1035" s="2"/>
      <c r="D1035" s="2"/>
      <c r="E1035" s="2"/>
      <c r="F1035" s="2"/>
      <c r="G1035" s="2"/>
      <c r="H1035" s="2"/>
      <c r="I1035" s="1"/>
      <c r="J1035" s="2"/>
      <c r="K1035" s="1"/>
      <c r="L1035" s="1"/>
      <c r="M1035" s="1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2">
      <c r="A1036" s="2"/>
      <c r="B1036" s="1"/>
      <c r="C1036" s="2"/>
      <c r="D1036" s="2"/>
      <c r="E1036" s="2"/>
      <c r="F1036" s="2"/>
      <c r="G1036" s="2"/>
      <c r="H1036" s="2"/>
      <c r="I1036" s="1"/>
      <c r="J1036" s="2"/>
      <c r="K1036" s="1"/>
      <c r="L1036" s="1"/>
      <c r="M1036" s="1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2">
      <c r="A1037" s="2"/>
      <c r="B1037" s="1"/>
      <c r="C1037" s="2"/>
      <c r="D1037" s="2"/>
      <c r="E1037" s="2"/>
      <c r="F1037" s="2"/>
      <c r="G1037" s="2"/>
      <c r="H1037" s="2"/>
      <c r="I1037" s="1"/>
      <c r="J1037" s="2"/>
      <c r="K1037" s="1"/>
      <c r="L1037" s="1"/>
      <c r="M1037" s="1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2">
      <c r="A1038" s="2"/>
      <c r="B1038" s="1"/>
      <c r="C1038" s="2"/>
      <c r="D1038" s="2"/>
      <c r="E1038" s="2"/>
      <c r="F1038" s="2"/>
      <c r="G1038" s="2"/>
      <c r="H1038" s="2"/>
      <c r="I1038" s="1"/>
      <c r="J1038" s="2"/>
      <c r="K1038" s="1"/>
      <c r="L1038" s="1"/>
      <c r="M1038" s="1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2">
      <c r="A1039" s="2"/>
      <c r="B1039" s="1"/>
      <c r="C1039" s="2"/>
      <c r="D1039" s="2"/>
      <c r="E1039" s="2"/>
      <c r="F1039" s="2"/>
      <c r="G1039" s="2"/>
      <c r="H1039" s="2"/>
      <c r="I1039" s="1"/>
      <c r="J1039" s="2"/>
      <c r="K1039" s="1"/>
      <c r="L1039" s="1"/>
      <c r="M1039" s="1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 x14ac:dyDescent="0.2">
      <c r="A1040" s="2"/>
      <c r="B1040" s="1"/>
      <c r="C1040" s="2"/>
      <c r="D1040" s="2"/>
      <c r="E1040" s="2"/>
      <c r="F1040" s="2"/>
      <c r="G1040" s="2"/>
      <c r="H1040" s="2"/>
      <c r="I1040" s="1"/>
      <c r="J1040" s="2"/>
      <c r="K1040" s="1"/>
      <c r="L1040" s="1"/>
      <c r="M1040" s="1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 x14ac:dyDescent="0.2">
      <c r="A1041" s="2"/>
      <c r="B1041" s="1"/>
      <c r="C1041" s="2"/>
      <c r="D1041" s="2"/>
      <c r="E1041" s="2"/>
      <c r="F1041" s="2"/>
      <c r="G1041" s="2"/>
      <c r="H1041" s="2"/>
      <c r="I1041" s="1"/>
      <c r="J1041" s="2"/>
      <c r="K1041" s="1"/>
      <c r="L1041" s="1"/>
      <c r="M1041" s="1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 x14ac:dyDescent="0.2">
      <c r="A1042" s="2"/>
      <c r="B1042" s="1"/>
      <c r="C1042" s="2"/>
      <c r="D1042" s="2"/>
      <c r="E1042" s="2"/>
      <c r="F1042" s="2"/>
      <c r="G1042" s="2"/>
      <c r="H1042" s="2"/>
      <c r="I1042" s="1"/>
      <c r="J1042" s="2"/>
      <c r="K1042" s="1"/>
      <c r="L1042" s="1"/>
      <c r="M1042" s="1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 x14ac:dyDescent="0.2">
      <c r="A1043" s="2"/>
      <c r="B1043" s="1"/>
      <c r="C1043" s="2"/>
      <c r="D1043" s="2"/>
      <c r="E1043" s="2"/>
      <c r="F1043" s="2"/>
      <c r="G1043" s="2"/>
      <c r="H1043" s="2"/>
      <c r="I1043" s="1"/>
      <c r="J1043" s="2"/>
      <c r="K1043" s="1"/>
      <c r="L1043" s="1"/>
      <c r="M1043" s="1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 x14ac:dyDescent="0.2">
      <c r="A1044" s="2"/>
      <c r="B1044" s="1"/>
      <c r="C1044" s="2"/>
      <c r="D1044" s="2"/>
      <c r="E1044" s="2"/>
      <c r="F1044" s="2"/>
      <c r="G1044" s="2"/>
      <c r="H1044" s="2"/>
      <c r="I1044" s="1"/>
      <c r="J1044" s="2"/>
      <c r="K1044" s="1"/>
      <c r="L1044" s="1"/>
      <c r="M1044" s="1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 x14ac:dyDescent="0.2">
      <c r="A1045" s="2"/>
      <c r="B1045" s="1"/>
      <c r="C1045" s="2"/>
      <c r="D1045" s="2"/>
      <c r="E1045" s="2"/>
      <c r="F1045" s="2"/>
      <c r="G1045" s="2"/>
      <c r="H1045" s="2"/>
      <c r="I1045" s="1"/>
      <c r="J1045" s="2"/>
      <c r="K1045" s="1"/>
      <c r="L1045" s="1"/>
      <c r="M1045" s="1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 x14ac:dyDescent="0.2">
      <c r="A1046" s="2"/>
      <c r="B1046" s="1"/>
      <c r="C1046" s="2"/>
      <c r="D1046" s="2"/>
      <c r="E1046" s="2"/>
      <c r="F1046" s="2"/>
      <c r="G1046" s="2"/>
      <c r="H1046" s="2"/>
      <c r="I1046" s="1"/>
      <c r="J1046" s="2"/>
      <c r="K1046" s="1"/>
      <c r="L1046" s="1"/>
      <c r="M1046" s="1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 x14ac:dyDescent="0.2">
      <c r="A1047" s="2"/>
      <c r="B1047" s="1"/>
      <c r="C1047" s="2"/>
      <c r="D1047" s="2"/>
      <c r="E1047" s="2"/>
      <c r="F1047" s="2"/>
      <c r="G1047" s="2"/>
      <c r="H1047" s="2"/>
      <c r="I1047" s="1"/>
      <c r="J1047" s="2"/>
      <c r="K1047" s="1"/>
      <c r="L1047" s="1"/>
      <c r="M1047" s="1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 x14ac:dyDescent="0.2">
      <c r="A1048" s="2"/>
      <c r="B1048" s="1"/>
      <c r="C1048" s="2"/>
      <c r="D1048" s="2"/>
      <c r="E1048" s="2"/>
      <c r="F1048" s="2"/>
      <c r="G1048" s="2"/>
      <c r="H1048" s="2"/>
      <c r="I1048" s="1"/>
      <c r="J1048" s="2"/>
      <c r="K1048" s="1"/>
      <c r="L1048" s="1"/>
      <c r="M1048" s="1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customHeight="1" x14ac:dyDescent="0.2">
      <c r="A1049" s="2"/>
      <c r="B1049" s="1"/>
      <c r="C1049" s="2"/>
      <c r="D1049" s="2"/>
      <c r="E1049" s="2"/>
      <c r="F1049" s="2"/>
      <c r="G1049" s="2"/>
      <c r="H1049" s="2"/>
      <c r="I1049" s="1"/>
      <c r="J1049" s="2"/>
      <c r="K1049" s="1"/>
      <c r="L1049" s="1"/>
      <c r="M1049" s="1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customHeight="1" x14ac:dyDescent="0.2">
      <c r="A1050" s="2"/>
      <c r="B1050" s="1"/>
      <c r="C1050" s="2"/>
      <c r="D1050" s="2"/>
      <c r="E1050" s="2"/>
      <c r="F1050" s="2"/>
      <c r="G1050" s="2"/>
      <c r="H1050" s="2"/>
      <c r="I1050" s="1"/>
      <c r="J1050" s="2"/>
      <c r="K1050" s="1"/>
      <c r="L1050" s="1"/>
      <c r="M1050" s="1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customHeight="1" x14ac:dyDescent="0.2">
      <c r="A1051" s="2"/>
      <c r="B1051" s="1"/>
      <c r="C1051" s="2"/>
      <c r="D1051" s="2"/>
      <c r="E1051" s="2"/>
      <c r="F1051" s="2"/>
      <c r="G1051" s="2"/>
      <c r="H1051" s="2"/>
      <c r="I1051" s="1"/>
      <c r="J1051" s="2"/>
      <c r="K1051" s="1"/>
      <c r="L1051" s="1"/>
      <c r="M1051" s="1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customHeight="1" x14ac:dyDescent="0.2">
      <c r="A1052" s="2"/>
      <c r="B1052" s="1"/>
      <c r="C1052" s="2"/>
      <c r="D1052" s="2"/>
      <c r="E1052" s="2"/>
      <c r="F1052" s="2"/>
      <c r="G1052" s="2"/>
      <c r="H1052" s="2"/>
      <c r="I1052" s="1"/>
      <c r="J1052" s="2"/>
      <c r="K1052" s="1"/>
      <c r="L1052" s="1"/>
      <c r="M1052" s="1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customHeight="1" x14ac:dyDescent="0.2">
      <c r="A1053" s="2"/>
      <c r="B1053" s="1"/>
      <c r="C1053" s="2"/>
      <c r="D1053" s="2"/>
      <c r="E1053" s="2"/>
      <c r="F1053" s="2"/>
      <c r="G1053" s="2"/>
      <c r="H1053" s="2"/>
      <c r="I1053" s="1"/>
      <c r="J1053" s="2"/>
      <c r="K1053" s="1"/>
      <c r="L1053" s="1"/>
      <c r="M1053" s="1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customHeight="1" x14ac:dyDescent="0.2">
      <c r="A1054" s="2"/>
      <c r="B1054" s="1"/>
      <c r="C1054" s="2"/>
      <c r="D1054" s="2"/>
      <c r="E1054" s="2"/>
      <c r="F1054" s="2"/>
      <c r="G1054" s="2"/>
      <c r="H1054" s="2"/>
      <c r="I1054" s="1"/>
      <c r="J1054" s="2"/>
      <c r="K1054" s="1"/>
      <c r="L1054" s="1"/>
      <c r="M1054" s="1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customHeight="1" x14ac:dyDescent="0.2">
      <c r="A1055" s="2"/>
      <c r="B1055" s="1"/>
      <c r="C1055" s="2"/>
      <c r="D1055" s="2"/>
      <c r="E1055" s="2"/>
      <c r="F1055" s="2"/>
      <c r="G1055" s="2"/>
      <c r="H1055" s="2"/>
      <c r="I1055" s="1"/>
      <c r="J1055" s="2"/>
      <c r="K1055" s="1"/>
      <c r="L1055" s="1"/>
      <c r="M1055" s="1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customHeight="1" x14ac:dyDescent="0.2">
      <c r="A1056" s="2"/>
      <c r="B1056" s="1"/>
      <c r="C1056" s="2"/>
      <c r="D1056" s="2"/>
      <c r="E1056" s="2"/>
      <c r="F1056" s="2"/>
      <c r="G1056" s="2"/>
      <c r="H1056" s="2"/>
      <c r="I1056" s="1"/>
      <c r="J1056" s="2"/>
      <c r="K1056" s="1"/>
      <c r="L1056" s="1"/>
      <c r="M1056" s="1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customHeight="1" x14ac:dyDescent="0.2">
      <c r="A1057" s="2"/>
      <c r="B1057" s="1"/>
      <c r="C1057" s="2"/>
      <c r="D1057" s="2"/>
      <c r="E1057" s="2"/>
      <c r="F1057" s="2"/>
      <c r="G1057" s="2"/>
      <c r="H1057" s="2"/>
      <c r="I1057" s="1"/>
      <c r="J1057" s="2"/>
      <c r="K1057" s="1"/>
      <c r="L1057" s="1"/>
      <c r="M1057" s="1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customHeight="1" x14ac:dyDescent="0.2">
      <c r="A1058" s="2"/>
      <c r="B1058" s="1"/>
      <c r="C1058" s="2"/>
      <c r="D1058" s="2"/>
      <c r="E1058" s="2"/>
      <c r="F1058" s="2"/>
      <c r="G1058" s="2"/>
      <c r="H1058" s="2"/>
      <c r="I1058" s="1"/>
      <c r="J1058" s="2"/>
      <c r="K1058" s="1"/>
      <c r="L1058" s="1"/>
      <c r="M1058" s="1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customHeight="1" x14ac:dyDescent="0.2">
      <c r="A1059" s="2"/>
      <c r="B1059" s="1"/>
      <c r="C1059" s="2"/>
      <c r="D1059" s="2"/>
      <c r="E1059" s="2"/>
      <c r="F1059" s="2"/>
      <c r="G1059" s="2"/>
      <c r="H1059" s="2"/>
      <c r="I1059" s="1"/>
      <c r="J1059" s="2"/>
      <c r="K1059" s="1"/>
      <c r="L1059" s="1"/>
      <c r="M1059" s="1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customHeight="1" x14ac:dyDescent="0.2">
      <c r="A1060" s="2"/>
      <c r="B1060" s="1"/>
      <c r="C1060" s="2"/>
      <c r="D1060" s="2"/>
      <c r="E1060" s="2"/>
      <c r="F1060" s="2"/>
      <c r="G1060" s="2"/>
      <c r="H1060" s="2"/>
      <c r="I1060" s="1"/>
      <c r="J1060" s="2"/>
      <c r="K1060" s="1"/>
      <c r="L1060" s="1"/>
      <c r="M1060" s="1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customHeight="1" x14ac:dyDescent="0.2">
      <c r="A1061" s="2"/>
      <c r="B1061" s="1"/>
      <c r="C1061" s="2"/>
      <c r="D1061" s="2"/>
      <c r="E1061" s="2"/>
      <c r="F1061" s="2"/>
      <c r="G1061" s="2"/>
      <c r="H1061" s="2"/>
      <c r="I1061" s="1"/>
      <c r="J1061" s="2"/>
      <c r="K1061" s="1"/>
      <c r="L1061" s="1"/>
      <c r="M1061" s="1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customHeight="1" x14ac:dyDescent="0.2">
      <c r="A1062" s="2"/>
      <c r="B1062" s="1"/>
      <c r="C1062" s="2"/>
      <c r="D1062" s="2"/>
      <c r="E1062" s="2"/>
      <c r="F1062" s="2"/>
      <c r="G1062" s="2"/>
      <c r="H1062" s="2"/>
      <c r="I1062" s="1"/>
      <c r="J1062" s="2"/>
      <c r="K1062" s="1"/>
      <c r="L1062" s="1"/>
      <c r="M1062" s="1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customHeight="1" x14ac:dyDescent="0.2">
      <c r="A1063" s="2"/>
      <c r="B1063" s="1"/>
      <c r="C1063" s="2"/>
      <c r="D1063" s="2"/>
      <c r="E1063" s="2"/>
      <c r="F1063" s="2"/>
      <c r="G1063" s="2"/>
      <c r="H1063" s="2"/>
      <c r="I1063" s="1"/>
      <c r="J1063" s="2"/>
      <c r="K1063" s="1"/>
      <c r="L1063" s="1"/>
      <c r="M1063" s="1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customHeight="1" x14ac:dyDescent="0.2">
      <c r="A1064" s="2"/>
      <c r="B1064" s="1"/>
      <c r="C1064" s="2"/>
      <c r="D1064" s="2"/>
      <c r="E1064" s="2"/>
      <c r="F1064" s="2"/>
      <c r="G1064" s="2"/>
      <c r="H1064" s="2"/>
      <c r="I1064" s="1"/>
      <c r="J1064" s="2"/>
      <c r="K1064" s="1"/>
      <c r="L1064" s="1"/>
      <c r="M1064" s="1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customHeight="1" x14ac:dyDescent="0.2">
      <c r="A1065" s="2"/>
      <c r="B1065" s="1"/>
      <c r="C1065" s="2"/>
      <c r="D1065" s="2"/>
      <c r="E1065" s="2"/>
      <c r="F1065" s="2"/>
      <c r="G1065" s="2"/>
      <c r="H1065" s="2"/>
      <c r="I1065" s="1"/>
      <c r="J1065" s="2"/>
      <c r="K1065" s="1"/>
      <c r="L1065" s="1"/>
      <c r="M1065" s="1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customHeight="1" x14ac:dyDescent="0.2">
      <c r="A1066" s="2"/>
      <c r="B1066" s="1"/>
      <c r="C1066" s="2"/>
      <c r="D1066" s="2"/>
      <c r="E1066" s="2"/>
      <c r="F1066" s="2"/>
      <c r="G1066" s="2"/>
      <c r="H1066" s="2"/>
      <c r="I1066" s="1"/>
      <c r="J1066" s="2"/>
      <c r="K1066" s="1"/>
      <c r="L1066" s="1"/>
      <c r="M1066" s="1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customHeight="1" x14ac:dyDescent="0.2">
      <c r="A1067" s="2"/>
      <c r="B1067" s="1"/>
      <c r="C1067" s="2"/>
      <c r="D1067" s="2"/>
      <c r="E1067" s="2"/>
      <c r="F1067" s="2"/>
      <c r="G1067" s="2"/>
      <c r="H1067" s="2"/>
      <c r="I1067" s="1"/>
      <c r="J1067" s="2"/>
      <c r="K1067" s="1"/>
      <c r="L1067" s="1"/>
      <c r="M1067" s="1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customHeight="1" x14ac:dyDescent="0.2">
      <c r="A1068" s="2"/>
      <c r="B1068" s="1"/>
      <c r="C1068" s="2"/>
      <c r="D1068" s="2"/>
      <c r="E1068" s="2"/>
      <c r="F1068" s="2"/>
      <c r="G1068" s="2"/>
      <c r="H1068" s="2"/>
      <c r="I1068" s="1"/>
      <c r="J1068" s="2"/>
      <c r="K1068" s="1"/>
      <c r="L1068" s="1"/>
      <c r="M1068" s="1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customHeight="1" x14ac:dyDescent="0.2">
      <c r="A1069" s="2"/>
      <c r="B1069" s="1"/>
      <c r="C1069" s="2"/>
      <c r="D1069" s="2"/>
      <c r="E1069" s="2"/>
      <c r="F1069" s="2"/>
      <c r="G1069" s="2"/>
      <c r="H1069" s="2"/>
      <c r="I1069" s="1"/>
      <c r="J1069" s="2"/>
      <c r="K1069" s="1"/>
      <c r="L1069" s="1"/>
      <c r="M1069" s="1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customHeight="1" x14ac:dyDescent="0.2">
      <c r="A1070" s="2"/>
      <c r="B1070" s="1"/>
      <c r="C1070" s="2"/>
      <c r="D1070" s="2"/>
      <c r="E1070" s="2"/>
      <c r="F1070" s="2"/>
      <c r="G1070" s="2"/>
      <c r="H1070" s="2"/>
      <c r="I1070" s="1"/>
      <c r="J1070" s="2"/>
      <c r="K1070" s="1"/>
      <c r="L1070" s="1"/>
      <c r="M1070" s="1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customHeight="1" x14ac:dyDescent="0.2">
      <c r="A1071" s="2"/>
      <c r="B1071" s="1"/>
      <c r="C1071" s="2"/>
      <c r="D1071" s="2"/>
      <c r="E1071" s="2"/>
      <c r="F1071" s="2"/>
      <c r="G1071" s="2"/>
      <c r="H1071" s="2"/>
      <c r="I1071" s="1"/>
      <c r="J1071" s="2"/>
      <c r="K1071" s="1"/>
      <c r="L1071" s="1"/>
      <c r="M1071" s="1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customHeight="1" x14ac:dyDescent="0.2">
      <c r="A1072" s="2"/>
      <c r="B1072" s="1"/>
      <c r="C1072" s="2"/>
      <c r="D1072" s="2"/>
      <c r="E1072" s="2"/>
      <c r="F1072" s="2"/>
      <c r="G1072" s="2"/>
      <c r="H1072" s="2"/>
      <c r="I1072" s="1"/>
      <c r="J1072" s="2"/>
      <c r="K1072" s="1"/>
      <c r="L1072" s="1"/>
      <c r="M1072" s="1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customHeight="1" x14ac:dyDescent="0.2">
      <c r="A1073" s="2"/>
      <c r="B1073" s="1"/>
      <c r="C1073" s="2"/>
      <c r="D1073" s="2"/>
      <c r="E1073" s="2"/>
      <c r="F1073" s="2"/>
      <c r="G1073" s="2"/>
      <c r="H1073" s="2"/>
      <c r="I1073" s="1"/>
      <c r="J1073" s="2"/>
      <c r="K1073" s="1"/>
      <c r="L1073" s="1"/>
      <c r="M1073" s="1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customHeight="1" x14ac:dyDescent="0.2">
      <c r="A1074" s="2"/>
      <c r="B1074" s="1"/>
      <c r="C1074" s="2"/>
      <c r="D1074" s="2"/>
      <c r="E1074" s="2"/>
      <c r="F1074" s="2"/>
      <c r="G1074" s="2"/>
      <c r="H1074" s="2"/>
      <c r="I1074" s="1"/>
      <c r="J1074" s="2"/>
      <c r="K1074" s="1"/>
      <c r="L1074" s="1"/>
      <c r="M1074" s="1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.75" customHeight="1" x14ac:dyDescent="0.2">
      <c r="A1075" s="2"/>
      <c r="B1075" s="1"/>
      <c r="C1075" s="2"/>
      <c r="D1075" s="2"/>
      <c r="E1075" s="2"/>
      <c r="F1075" s="2"/>
      <c r="G1075" s="2"/>
      <c r="H1075" s="2"/>
      <c r="I1075" s="1"/>
      <c r="J1075" s="2"/>
      <c r="K1075" s="1"/>
      <c r="L1075" s="1"/>
      <c r="M1075" s="1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</sheetData>
  <mergeCells count="49">
    <mergeCell ref="F461:G461"/>
    <mergeCell ref="F462:G462"/>
    <mergeCell ref="F445:G445"/>
    <mergeCell ref="F446:G446"/>
    <mergeCell ref="F447:G447"/>
    <mergeCell ref="F449:G449"/>
    <mergeCell ref="F450:G450"/>
    <mergeCell ref="F451:G451"/>
    <mergeCell ref="F452:G452"/>
    <mergeCell ref="F453:G453"/>
    <mergeCell ref="F455:G455"/>
    <mergeCell ref="F456:G456"/>
    <mergeCell ref="F458:G458"/>
    <mergeCell ref="F459:G459"/>
    <mergeCell ref="F439:G439"/>
    <mergeCell ref="F440:G440"/>
    <mergeCell ref="F441:G441"/>
    <mergeCell ref="F442:G442"/>
    <mergeCell ref="F444:G444"/>
    <mergeCell ref="F432:G432"/>
    <mergeCell ref="F434:G434"/>
    <mergeCell ref="F435:G435"/>
    <mergeCell ref="F436:G436"/>
    <mergeCell ref="F438:G438"/>
    <mergeCell ref="F426:G426"/>
    <mergeCell ref="F427:G427"/>
    <mergeCell ref="F428:G428"/>
    <mergeCell ref="F430:G430"/>
    <mergeCell ref="F431:G431"/>
    <mergeCell ref="F419:G419"/>
    <mergeCell ref="F421:G421"/>
    <mergeCell ref="F422:G422"/>
    <mergeCell ref="F423:G423"/>
    <mergeCell ref="F425:G425"/>
    <mergeCell ref="F413:G413"/>
    <mergeCell ref="F414:G414"/>
    <mergeCell ref="F415:G415"/>
    <mergeCell ref="F417:G417"/>
    <mergeCell ref="F418:G418"/>
    <mergeCell ref="F407:G407"/>
    <mergeCell ref="F408:G408"/>
    <mergeCell ref="F409:G409"/>
    <mergeCell ref="F411:G411"/>
    <mergeCell ref="F412:G412"/>
    <mergeCell ref="A1:L1"/>
    <mergeCell ref="F403:G403"/>
    <mergeCell ref="F404:G404"/>
    <mergeCell ref="F405:G405"/>
    <mergeCell ref="F406:G406"/>
  </mergeCells>
  <conditionalFormatting sqref="A9:A293">
    <cfRule type="cellIs" dxfId="54" priority="1" operator="equal">
      <formula>"1.5 Liter"</formula>
    </cfRule>
    <cfRule type="cellIs" dxfId="53" priority="2" operator="equal">
      <formula>"1 Liter"</formula>
    </cfRule>
    <cfRule type="cellIs" dxfId="52" priority="3" operator="equal">
      <formula>"750ml"</formula>
    </cfRule>
    <cfRule type="cellIs" dxfId="51" priority="4" operator="equal">
      <formula>"375ml"</formula>
    </cfRule>
  </conditionalFormatting>
  <conditionalFormatting sqref="A297:A399">
    <cfRule type="cellIs" dxfId="50" priority="5" operator="equal">
      <formula>"1.5 Liter"</formula>
    </cfRule>
    <cfRule type="cellIs" dxfId="49" priority="6" operator="equal">
      <formula>"1 Liter"</formula>
    </cfRule>
    <cfRule type="cellIs" dxfId="48" priority="7" operator="equal">
      <formula>"750ml"</formula>
    </cfRule>
    <cfRule type="cellIs" dxfId="47" priority="8" operator="equal">
      <formula>"375ml"</formula>
    </cfRule>
  </conditionalFormatting>
  <conditionalFormatting sqref="B10:B31 B33:B69 B76:B79 B88:B89 B93:B96 B100:B101 B107:B112 B119:B120 B127:B263 B265:B273 B275:B293">
    <cfRule type="cellIs" dxfId="46" priority="12" operator="equal">
      <formula>$A$9</formula>
    </cfRule>
  </conditionalFormatting>
  <conditionalFormatting sqref="B10:B31 B33:B69 B76:B96 B100:B101 B107:B263 B265:B273 B275:B293">
    <cfRule type="cellIs" dxfId="45" priority="9" operator="equal">
      <formula>50.72</formula>
    </cfRule>
    <cfRule type="cellIs" dxfId="44" priority="10" operator="equal">
      <formula>25.36</formula>
    </cfRule>
    <cfRule type="cellIs" dxfId="43" priority="11" operator="equal">
      <formula>12.68</formula>
    </cfRule>
  </conditionalFormatting>
  <conditionalFormatting sqref="B10:B418">
    <cfRule type="cellIs" dxfId="42" priority="13" operator="equal">
      <formula>33.814</formula>
    </cfRule>
  </conditionalFormatting>
  <conditionalFormatting sqref="B22:B33 B70:B76 B97:B108 B261:B264 B271:B275 B80:B87 B90:B92 B113:B118 B121:B126 B297:B399">
    <cfRule type="cellIs" dxfId="41" priority="15" operator="equal">
      <formula>33.814</formula>
    </cfRule>
  </conditionalFormatting>
  <conditionalFormatting sqref="B22:B33 B70:B76 B97:B108 B261:B264 B271:B275 B297:B399 B80:B87 B90:B92 B113:B118 B121:B126">
    <cfRule type="cellIs" dxfId="40" priority="18" operator="equal">
      <formula>$A$9</formula>
    </cfRule>
  </conditionalFormatting>
  <conditionalFormatting sqref="B22:B33 B70:B76 B97:B108 B261:B264 B271:B275 B297:B399">
    <cfRule type="cellIs" dxfId="39" priority="14" operator="equal">
      <formula>50.72</formula>
    </cfRule>
    <cfRule type="cellIs" dxfId="38" priority="16" operator="equal">
      <formula>25.36</formula>
    </cfRule>
    <cfRule type="cellIs" dxfId="37" priority="17" operator="equal">
      <formula>12.68</formula>
    </cfRule>
  </conditionalFormatting>
  <conditionalFormatting sqref="E3:E9 B9:D9">
    <cfRule type="cellIs" dxfId="36" priority="19" operator="equal">
      <formula>50.72</formula>
    </cfRule>
    <cfRule type="cellIs" dxfId="35" priority="20" operator="equal">
      <formula>33.814</formula>
    </cfRule>
    <cfRule type="cellIs" dxfId="34" priority="21" operator="equal">
      <formula>25.36</formula>
    </cfRule>
    <cfRule type="cellIs" dxfId="33" priority="22" operator="equal">
      <formula>12.68</formula>
    </cfRule>
    <cfRule type="cellIs" dxfId="32" priority="23" operator="equal">
      <formula>$A$9</formula>
    </cfRule>
  </conditionalFormatting>
  <dataValidations count="2">
    <dataValidation type="list" allowBlank="1" sqref="B9:B399" xr:uid="{00000000-0002-0000-0000-000000000000}">
      <formula1>"12,16,23.6,25.36,33.814,50.72,10,128,32,59.17,64,7"</formula1>
    </dataValidation>
    <dataValidation type="list" allowBlank="1" showErrorMessage="1" sqref="A9:A23 A29:A399" xr:uid="{00000000-0002-0000-0000-000001000000}">
      <formula1>"375ml,700mL,750ml,1 Liter,1.5 Liter,Bitters,Juice,Quart,1.75 Liter"</formula1>
    </dataValidation>
  </dataValidations>
  <printOptions gridLines="1"/>
  <pageMargins left="0.25" right="0.25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7"/>
  <sheetViews>
    <sheetView workbookViewId="0"/>
  </sheetViews>
  <sheetFormatPr defaultColWidth="14.390625" defaultRowHeight="15" customHeight="1" x14ac:dyDescent="0.2"/>
  <cols>
    <col min="1" max="1" width="9.01171875" customWidth="1"/>
    <col min="2" max="2" width="10.76171875" customWidth="1"/>
    <col min="3" max="3" width="54.078125" customWidth="1"/>
    <col min="4" max="4" width="15.87109375" customWidth="1"/>
    <col min="5" max="5" width="11.1640625" hidden="1" customWidth="1"/>
    <col min="6" max="6" width="11.703125" hidden="1" customWidth="1"/>
    <col min="7" max="7" width="19.90625" hidden="1" customWidth="1"/>
    <col min="8" max="8" width="13.44921875" hidden="1" customWidth="1"/>
    <col min="9" max="9" width="19.1015625" hidden="1" customWidth="1"/>
    <col min="10" max="10" width="10.76171875" hidden="1" customWidth="1"/>
    <col min="11" max="11" width="14.125" customWidth="1"/>
    <col min="12" max="12" width="16.140625" customWidth="1"/>
    <col min="13" max="13" width="23" customWidth="1"/>
    <col min="14" max="14" width="16.140625" customWidth="1"/>
    <col min="15" max="15" width="15.6015625" customWidth="1"/>
    <col min="16" max="16" width="16.94921875" customWidth="1"/>
    <col min="17" max="17" width="32.95703125" customWidth="1"/>
    <col min="18" max="18" width="20.3125" customWidth="1"/>
    <col min="19" max="26" width="8.875" customWidth="1"/>
  </cols>
  <sheetData>
    <row r="1" spans="1:26" ht="42" customHeight="1" x14ac:dyDescent="0.6">
      <c r="A1" s="353" t="s">
        <v>441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7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.75" customHeight="1" x14ac:dyDescent="0.2">
      <c r="A2" s="126" t="s">
        <v>442</v>
      </c>
      <c r="B2" s="126" t="s">
        <v>443</v>
      </c>
      <c r="C2" s="126" t="s">
        <v>2</v>
      </c>
      <c r="D2" s="126" t="s">
        <v>444</v>
      </c>
      <c r="E2" s="127" t="s">
        <v>445</v>
      </c>
      <c r="F2" s="127" t="s">
        <v>446</v>
      </c>
      <c r="G2" s="127" t="s">
        <v>447</v>
      </c>
      <c r="H2" s="128" t="s">
        <v>448</v>
      </c>
      <c r="I2" s="127" t="s">
        <v>449</v>
      </c>
      <c r="J2" s="128" t="s">
        <v>450</v>
      </c>
      <c r="K2" s="126" t="s">
        <v>9</v>
      </c>
      <c r="L2" s="126" t="s">
        <v>10</v>
      </c>
      <c r="M2" s="129" t="s">
        <v>451</v>
      </c>
      <c r="N2" s="126" t="s">
        <v>452</v>
      </c>
      <c r="O2" s="126" t="s">
        <v>12</v>
      </c>
      <c r="P2" s="127" t="s">
        <v>13</v>
      </c>
      <c r="Q2" s="126"/>
      <c r="R2" s="126"/>
      <c r="S2" s="2"/>
      <c r="T2" s="2"/>
      <c r="U2" s="2"/>
      <c r="V2" s="2"/>
      <c r="W2" s="2"/>
      <c r="X2" s="2"/>
      <c r="Y2" s="2"/>
      <c r="Z2" s="2"/>
    </row>
    <row r="3" spans="1:26" ht="18.75" customHeight="1" x14ac:dyDescent="0.2">
      <c r="A3" s="41" t="s">
        <v>58</v>
      </c>
      <c r="B3" s="14">
        <v>25.36</v>
      </c>
      <c r="C3" s="130" t="s">
        <v>453</v>
      </c>
      <c r="D3" s="131" t="s">
        <v>454</v>
      </c>
      <c r="E3" s="9">
        <v>9.25</v>
      </c>
      <c r="F3" s="9">
        <f>E3/B3</f>
        <v>0.36474763406940064</v>
      </c>
      <c r="G3" s="9">
        <v>40</v>
      </c>
      <c r="H3" s="132">
        <f>Wine!$E3/Wine!$G3</f>
        <v>0.23125000000000001</v>
      </c>
      <c r="I3" s="9">
        <v>10</v>
      </c>
      <c r="J3" s="133">
        <f>(Wine!$F3*5)/Wine!$I3</f>
        <v>0.18237381703470032</v>
      </c>
      <c r="K3" s="47">
        <v>3</v>
      </c>
      <c r="L3" s="24"/>
      <c r="M3" s="47">
        <v>19.600000000000001</v>
      </c>
      <c r="N3" s="47">
        <v>48</v>
      </c>
      <c r="O3" s="24">
        <f>SUM(K3:N3)</f>
        <v>70.599999999999994</v>
      </c>
      <c r="P3" s="9">
        <f>Wine!$O3*Wine!$E3</f>
        <v>653.04999999999995</v>
      </c>
      <c r="Q3" s="24"/>
      <c r="R3" s="24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2">
      <c r="A4" s="41"/>
      <c r="B4" s="14"/>
      <c r="C4" s="130" t="s">
        <v>455</v>
      </c>
      <c r="D4" s="131"/>
      <c r="E4" s="9"/>
      <c r="F4" s="9"/>
      <c r="G4" s="9"/>
      <c r="H4" s="132"/>
      <c r="I4" s="9"/>
      <c r="J4" s="133"/>
      <c r="K4" s="47">
        <v>2</v>
      </c>
      <c r="L4" s="24"/>
      <c r="M4" s="47"/>
      <c r="N4" s="24"/>
      <c r="O4" s="24"/>
      <c r="P4" s="9"/>
      <c r="Q4" s="24"/>
      <c r="R4" s="24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">
      <c r="A5" s="41" t="s">
        <v>58</v>
      </c>
      <c r="B5" s="14">
        <v>25.36</v>
      </c>
      <c r="C5" s="131" t="s">
        <v>456</v>
      </c>
      <c r="D5" s="131" t="s">
        <v>454</v>
      </c>
      <c r="E5" s="9">
        <v>11.75</v>
      </c>
      <c r="F5" s="9">
        <f t="shared" ref="F5:F21" si="0">E5/B5</f>
        <v>0.46332807570977919</v>
      </c>
      <c r="G5" s="9">
        <v>48</v>
      </c>
      <c r="H5" s="132">
        <f>Wine!$E5/Wine!$G5</f>
        <v>0.24479166666666666</v>
      </c>
      <c r="I5" s="9">
        <v>12</v>
      </c>
      <c r="J5" s="133">
        <f>(Wine!$F5*5)/Wine!$I5</f>
        <v>0.19305336487907465</v>
      </c>
      <c r="K5" s="47">
        <v>2.7</v>
      </c>
      <c r="L5" s="24"/>
      <c r="M5" s="47">
        <v>5</v>
      </c>
      <c r="N5" s="24"/>
      <c r="O5" s="24">
        <f t="shared" ref="O5:O21" si="1">SUM(K5:N5)</f>
        <v>7.7</v>
      </c>
      <c r="P5" s="9">
        <f>Wine!$O5*Wine!$E5</f>
        <v>90.475000000000009</v>
      </c>
      <c r="Q5" s="24"/>
      <c r="R5" s="24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">
      <c r="A6" s="41" t="s">
        <v>58</v>
      </c>
      <c r="B6" s="14">
        <v>25.36</v>
      </c>
      <c r="C6" s="131" t="s">
        <v>457</v>
      </c>
      <c r="D6" s="131" t="s">
        <v>454</v>
      </c>
      <c r="E6" s="9">
        <v>13.75</v>
      </c>
      <c r="F6" s="9">
        <f t="shared" si="0"/>
        <v>0.54219242902208198</v>
      </c>
      <c r="G6" s="9">
        <v>58</v>
      </c>
      <c r="H6" s="132">
        <f>Wine!$E6/Wine!$G6</f>
        <v>0.23706896551724138</v>
      </c>
      <c r="I6" s="9">
        <v>15</v>
      </c>
      <c r="J6" s="132">
        <f>(Wine!$F6*5)/Wine!$I6</f>
        <v>0.18073080967402733</v>
      </c>
      <c r="K6" s="24"/>
      <c r="L6" s="24"/>
      <c r="M6" s="47">
        <v>5.5</v>
      </c>
      <c r="N6" s="24"/>
      <c r="O6" s="24">
        <f t="shared" si="1"/>
        <v>5.5</v>
      </c>
      <c r="P6" s="9">
        <f>Wine!$O6*Wine!$E6</f>
        <v>75.625</v>
      </c>
      <c r="Q6" s="24"/>
      <c r="R6" s="24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">
      <c r="A7" s="24" t="s">
        <v>58</v>
      </c>
      <c r="B7" s="14">
        <v>25.36</v>
      </c>
      <c r="C7" s="24" t="s">
        <v>458</v>
      </c>
      <c r="D7" s="24" t="s">
        <v>459</v>
      </c>
      <c r="E7" s="9">
        <v>16.5</v>
      </c>
      <c r="F7" s="9">
        <f t="shared" si="0"/>
        <v>0.65063091482649849</v>
      </c>
      <c r="G7" s="9">
        <v>62</v>
      </c>
      <c r="H7" s="132">
        <f>Wine!$E7/Wine!$G7</f>
        <v>0.2661290322580645</v>
      </c>
      <c r="I7" s="9">
        <v>16</v>
      </c>
      <c r="J7" s="133">
        <f>(Wine!$F7*5)/Wine!$I7</f>
        <v>0.20332216088328078</v>
      </c>
      <c r="K7" s="24"/>
      <c r="L7" s="24"/>
      <c r="M7" s="24"/>
      <c r="N7" s="24"/>
      <c r="O7" s="24">
        <f t="shared" si="1"/>
        <v>0</v>
      </c>
      <c r="P7" s="9">
        <f>Wine!$O7*Wine!$E7</f>
        <v>0</v>
      </c>
      <c r="Q7" s="24"/>
      <c r="R7" s="24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">
      <c r="A8" s="24" t="s">
        <v>58</v>
      </c>
      <c r="B8" s="14">
        <v>25.36</v>
      </c>
      <c r="C8" s="24" t="s">
        <v>460</v>
      </c>
      <c r="D8" s="24" t="s">
        <v>461</v>
      </c>
      <c r="E8" s="9">
        <v>16</v>
      </c>
      <c r="F8" s="9">
        <f t="shared" si="0"/>
        <v>0.63091482649842268</v>
      </c>
      <c r="G8" s="9">
        <v>60</v>
      </c>
      <c r="H8" s="132">
        <f>Wine!$E8/Wine!$G8</f>
        <v>0.26666666666666666</v>
      </c>
      <c r="I8" s="9">
        <v>16</v>
      </c>
      <c r="J8" s="133">
        <f>(Wine!$F8*5)/Wine!$I8</f>
        <v>0.19716088328075709</v>
      </c>
      <c r="K8" s="47">
        <v>2</v>
      </c>
      <c r="L8" s="24"/>
      <c r="M8" s="47">
        <v>16</v>
      </c>
      <c r="N8" s="47">
        <v>12</v>
      </c>
      <c r="O8" s="24">
        <f t="shared" si="1"/>
        <v>30</v>
      </c>
      <c r="P8" s="9">
        <f>Wine!$O8*Wine!$E8</f>
        <v>480</v>
      </c>
      <c r="Q8" s="24"/>
      <c r="R8" s="24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">
      <c r="A9" s="24" t="s">
        <v>58</v>
      </c>
      <c r="B9" s="14">
        <v>25.36</v>
      </c>
      <c r="C9" s="24" t="s">
        <v>462</v>
      </c>
      <c r="D9" s="24" t="s">
        <v>463</v>
      </c>
      <c r="E9" s="9">
        <v>9.67</v>
      </c>
      <c r="F9" s="9">
        <f t="shared" si="0"/>
        <v>0.38130914826498424</v>
      </c>
      <c r="G9" s="9">
        <v>48</v>
      </c>
      <c r="H9" s="132">
        <f>Wine!$E9/Wine!$G9</f>
        <v>0.20145833333333332</v>
      </c>
      <c r="I9" s="9">
        <v>12</v>
      </c>
      <c r="J9" s="133">
        <f>(Wine!$F9*5)/Wine!$I9</f>
        <v>0.15887881177707677</v>
      </c>
      <c r="K9" s="47">
        <v>1</v>
      </c>
      <c r="L9" s="24"/>
      <c r="M9" s="47">
        <v>20</v>
      </c>
      <c r="N9" s="24"/>
      <c r="O9" s="24">
        <f t="shared" si="1"/>
        <v>21</v>
      </c>
      <c r="P9" s="9">
        <f>Wine!$O9*Wine!$E9</f>
        <v>203.07</v>
      </c>
      <c r="Q9" s="24"/>
      <c r="R9" s="24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">
      <c r="A10" s="41" t="s">
        <v>58</v>
      </c>
      <c r="B10" s="41">
        <v>25.36</v>
      </c>
      <c r="C10" s="134" t="s">
        <v>464</v>
      </c>
      <c r="D10" s="24" t="s">
        <v>463</v>
      </c>
      <c r="E10" s="9">
        <v>18</v>
      </c>
      <c r="F10" s="9">
        <f t="shared" si="0"/>
        <v>0.70977917981072558</v>
      </c>
      <c r="G10" s="39">
        <v>72</v>
      </c>
      <c r="H10" s="132">
        <f>Wine!$E10/Wine!$G10</f>
        <v>0.25</v>
      </c>
      <c r="I10" s="39">
        <v>18</v>
      </c>
      <c r="J10" s="133">
        <f>(Wine!$F10*5)/Wine!$I10</f>
        <v>0.19716088328075709</v>
      </c>
      <c r="K10" s="47">
        <v>0.8</v>
      </c>
      <c r="L10" s="24"/>
      <c r="M10" s="47">
        <v>24.9</v>
      </c>
      <c r="N10" s="47">
        <v>12</v>
      </c>
      <c r="O10" s="24">
        <f t="shared" si="1"/>
        <v>37.700000000000003</v>
      </c>
      <c r="P10" s="9">
        <f>Wine!$O10*Wine!$E10</f>
        <v>678.6</v>
      </c>
      <c r="Q10" s="24"/>
      <c r="R10" s="24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">
      <c r="A11" s="135" t="s">
        <v>58</v>
      </c>
      <c r="B11" s="136">
        <v>25.36</v>
      </c>
      <c r="C11" s="24" t="s">
        <v>465</v>
      </c>
      <c r="D11" s="24" t="s">
        <v>463</v>
      </c>
      <c r="E11" s="9">
        <v>12</v>
      </c>
      <c r="F11" s="9">
        <f t="shared" si="0"/>
        <v>0.47318611987381703</v>
      </c>
      <c r="G11" s="9">
        <v>52</v>
      </c>
      <c r="H11" s="132">
        <f>Wine!$E11/Wine!$G11</f>
        <v>0.23076923076923078</v>
      </c>
      <c r="I11" s="137">
        <v>14</v>
      </c>
      <c r="J11" s="133">
        <f>(Wine!$F11*5)/Wine!$I11</f>
        <v>0.1689950428120775</v>
      </c>
      <c r="K11" s="47">
        <v>1</v>
      </c>
      <c r="L11" s="24"/>
      <c r="M11" s="47">
        <v>3</v>
      </c>
      <c r="N11" s="135"/>
      <c r="O11" s="24">
        <f t="shared" si="1"/>
        <v>4</v>
      </c>
      <c r="P11" s="9">
        <f>Wine!$O11*Wine!$E11</f>
        <v>48</v>
      </c>
      <c r="Q11" s="24"/>
      <c r="R11" s="24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2">
      <c r="A12" s="24" t="s">
        <v>58</v>
      </c>
      <c r="B12" s="14">
        <v>25.36</v>
      </c>
      <c r="C12" s="138" t="s">
        <v>466</v>
      </c>
      <c r="D12" s="138" t="s">
        <v>463</v>
      </c>
      <c r="E12" s="9">
        <v>10</v>
      </c>
      <c r="F12" s="9">
        <f t="shared" si="0"/>
        <v>0.39432176656151419</v>
      </c>
      <c r="G12" s="9">
        <v>48</v>
      </c>
      <c r="H12" s="132">
        <f>Wine!$E12/Wine!$G12</f>
        <v>0.20833333333333334</v>
      </c>
      <c r="I12" s="9">
        <v>12</v>
      </c>
      <c r="J12" s="133">
        <f>(Wine!$F12*5)/Wine!$I12</f>
        <v>0.16430073606729759</v>
      </c>
      <c r="K12" s="47">
        <v>2.2000000000000002</v>
      </c>
      <c r="L12" s="24"/>
      <c r="M12" s="47">
        <v>16</v>
      </c>
      <c r="N12" s="24"/>
      <c r="O12" s="24">
        <f t="shared" si="1"/>
        <v>18.2</v>
      </c>
      <c r="P12" s="9">
        <f>Wine!$O12*Wine!$E12</f>
        <v>182</v>
      </c>
      <c r="Q12" s="24"/>
      <c r="R12" s="24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2">
      <c r="A13" s="24" t="s">
        <v>58</v>
      </c>
      <c r="B13" s="14">
        <v>25.36</v>
      </c>
      <c r="C13" s="138" t="s">
        <v>467</v>
      </c>
      <c r="D13" s="138" t="s">
        <v>463</v>
      </c>
      <c r="E13" s="9">
        <v>16.75</v>
      </c>
      <c r="F13" s="9">
        <f t="shared" si="0"/>
        <v>0.66048895899053628</v>
      </c>
      <c r="G13" s="9">
        <v>68</v>
      </c>
      <c r="H13" s="132">
        <f>Wine!$E13/Wine!$G13</f>
        <v>0.24632352941176472</v>
      </c>
      <c r="I13" s="9">
        <v>17</v>
      </c>
      <c r="J13" s="133">
        <f>(Wine!$F13*5)/Wine!$I13</f>
        <v>0.19426145852662832</v>
      </c>
      <c r="K13" s="47">
        <v>2.2999999999999998</v>
      </c>
      <c r="L13" s="24"/>
      <c r="M13" s="47">
        <v>10</v>
      </c>
      <c r="N13" s="47">
        <v>12</v>
      </c>
      <c r="O13" s="24">
        <f t="shared" si="1"/>
        <v>24.3</v>
      </c>
      <c r="P13" s="9">
        <f>Wine!$O13*Wine!$E13</f>
        <v>407.02500000000003</v>
      </c>
      <c r="Q13" s="24"/>
      <c r="R13" s="24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2">
      <c r="A14" s="24" t="s">
        <v>58</v>
      </c>
      <c r="B14" s="14">
        <v>25.36</v>
      </c>
      <c r="C14" s="138" t="s">
        <v>468</v>
      </c>
      <c r="D14" s="138" t="s">
        <v>469</v>
      </c>
      <c r="E14" s="9">
        <v>14.81</v>
      </c>
      <c r="F14" s="9">
        <f t="shared" si="0"/>
        <v>0.58399053627760256</v>
      </c>
      <c r="G14" s="9">
        <v>59</v>
      </c>
      <c r="H14" s="132">
        <f>Wine!$E14/Wine!$G14</f>
        <v>0.25101694915254236</v>
      </c>
      <c r="I14" s="9">
        <v>16</v>
      </c>
      <c r="J14" s="132">
        <f>(Wine!$F14*5)/Wine!$I14</f>
        <v>0.18249704258675081</v>
      </c>
      <c r="K14" s="47">
        <v>1.2</v>
      </c>
      <c r="L14" s="24"/>
      <c r="M14" s="47">
        <v>13</v>
      </c>
      <c r="N14" s="24"/>
      <c r="O14" s="24">
        <f t="shared" si="1"/>
        <v>14.2</v>
      </c>
      <c r="P14" s="9">
        <f>Wine!$O14*Wine!$E14</f>
        <v>210.30199999999999</v>
      </c>
      <c r="Q14" s="24"/>
      <c r="R14" s="24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2">
      <c r="A15" s="24" t="s">
        <v>58</v>
      </c>
      <c r="B15" s="14">
        <v>25.36</v>
      </c>
      <c r="C15" s="138" t="s">
        <v>470</v>
      </c>
      <c r="D15" s="138" t="s">
        <v>469</v>
      </c>
      <c r="E15" s="9">
        <v>16.5</v>
      </c>
      <c r="F15" s="9">
        <f t="shared" si="0"/>
        <v>0.65063091482649849</v>
      </c>
      <c r="G15" s="9">
        <v>62</v>
      </c>
      <c r="H15" s="132">
        <f>Wine!$E15/Wine!$G15</f>
        <v>0.2661290322580645</v>
      </c>
      <c r="I15" s="9">
        <v>16</v>
      </c>
      <c r="J15" s="132">
        <f>(Wine!$F15*5)/Wine!$I15</f>
        <v>0.20332216088328078</v>
      </c>
      <c r="K15" s="24"/>
      <c r="L15" s="24"/>
      <c r="M15" s="47">
        <v>20</v>
      </c>
      <c r="N15" s="24"/>
      <c r="O15" s="24">
        <f t="shared" si="1"/>
        <v>20</v>
      </c>
      <c r="P15" s="9">
        <f>Wine!$O15*Wine!$E15</f>
        <v>330</v>
      </c>
      <c r="Q15" s="24"/>
      <c r="R15" s="24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2">
      <c r="A16" s="24" t="s">
        <v>58</v>
      </c>
      <c r="B16" s="14">
        <v>25.36</v>
      </c>
      <c r="C16" s="138" t="s">
        <v>471</v>
      </c>
      <c r="D16" s="138" t="s">
        <v>469</v>
      </c>
      <c r="E16" s="9">
        <v>15</v>
      </c>
      <c r="F16" s="9">
        <f t="shared" si="0"/>
        <v>0.59148264984227128</v>
      </c>
      <c r="G16" s="9">
        <v>60</v>
      </c>
      <c r="H16" s="132">
        <f>Wine!$E16/Wine!$G16</f>
        <v>0.25</v>
      </c>
      <c r="I16" s="9">
        <v>16</v>
      </c>
      <c r="J16" s="132">
        <f>(Wine!$F16*5)/Wine!$I16</f>
        <v>0.18483832807570977</v>
      </c>
      <c r="K16" s="47">
        <v>0.8</v>
      </c>
      <c r="L16" s="24"/>
      <c r="M16" s="47">
        <v>13</v>
      </c>
      <c r="N16" s="47">
        <v>6</v>
      </c>
      <c r="O16" s="24">
        <f t="shared" si="1"/>
        <v>19.8</v>
      </c>
      <c r="P16" s="9">
        <f>Wine!$O16*Wine!$E16</f>
        <v>297</v>
      </c>
      <c r="Q16" s="24"/>
      <c r="R16" s="24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">
      <c r="A17" s="41" t="s">
        <v>58</v>
      </c>
      <c r="B17" s="14">
        <v>25.36</v>
      </c>
      <c r="C17" s="139" t="s">
        <v>472</v>
      </c>
      <c r="D17" s="24" t="s">
        <v>473</v>
      </c>
      <c r="E17" s="9">
        <v>6</v>
      </c>
      <c r="F17" s="9">
        <f t="shared" si="0"/>
        <v>0.23659305993690852</v>
      </c>
      <c r="G17" s="9">
        <v>44</v>
      </c>
      <c r="H17" s="132">
        <f>Wine!$E17/Wine!$G$17</f>
        <v>0.13636363636363635</v>
      </c>
      <c r="I17" s="9">
        <v>11</v>
      </c>
      <c r="J17" s="132">
        <f>(Wine!$F17*5)/Wine!$I$17</f>
        <v>0.10754229997132204</v>
      </c>
      <c r="K17" s="47">
        <v>4.5999999999999996</v>
      </c>
      <c r="L17" s="24"/>
      <c r="M17" s="24"/>
      <c r="N17" s="24"/>
      <c r="O17" s="24">
        <f t="shared" si="1"/>
        <v>4.5999999999999996</v>
      </c>
      <c r="P17" s="9">
        <f>Wine!$O17*Wine!$E17</f>
        <v>27.599999999999998</v>
      </c>
      <c r="Q17" s="24"/>
      <c r="R17" s="24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">
      <c r="A18" s="24" t="s">
        <v>474</v>
      </c>
      <c r="B18" s="14">
        <v>12.68</v>
      </c>
      <c r="C18" s="82" t="s">
        <v>475</v>
      </c>
      <c r="D18" s="82" t="s">
        <v>476</v>
      </c>
      <c r="E18" s="9">
        <v>27</v>
      </c>
      <c r="F18" s="9">
        <f t="shared" si="0"/>
        <v>2.1293375394321767</v>
      </c>
      <c r="G18" s="9">
        <v>75</v>
      </c>
      <c r="H18" s="132">
        <f>Wine!$E18/Wine!$G18</f>
        <v>0.36</v>
      </c>
      <c r="I18" s="9">
        <v>37.5</v>
      </c>
      <c r="J18" s="132">
        <f>(Wine!$F18*5)/Wine!$I18</f>
        <v>0.28391167192429023</v>
      </c>
      <c r="K18" s="24"/>
      <c r="L18" s="24"/>
      <c r="M18" s="47">
        <v>3</v>
      </c>
      <c r="N18" s="47">
        <v>2</v>
      </c>
      <c r="O18" s="24">
        <f t="shared" si="1"/>
        <v>5</v>
      </c>
      <c r="P18" s="9">
        <f>Wine!$O18*Wine!$E18</f>
        <v>135</v>
      </c>
      <c r="Q18" s="24"/>
      <c r="R18" s="24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">
      <c r="A19" s="24" t="s">
        <v>58</v>
      </c>
      <c r="B19" s="14">
        <v>25.36</v>
      </c>
      <c r="C19" s="24" t="s">
        <v>477</v>
      </c>
      <c r="D19" s="24" t="s">
        <v>476</v>
      </c>
      <c r="E19" s="9">
        <v>13.5</v>
      </c>
      <c r="F19" s="9">
        <f t="shared" si="0"/>
        <v>0.53233438485804419</v>
      </c>
      <c r="G19" s="9">
        <v>60</v>
      </c>
      <c r="H19" s="132">
        <f>Wine!$E19/Wine!$G19</f>
        <v>0.22500000000000001</v>
      </c>
      <c r="I19" s="137">
        <v>16</v>
      </c>
      <c r="J19" s="132">
        <f>(Wine!$F19*5)/Wine!$I19</f>
        <v>0.16635449526813881</v>
      </c>
      <c r="K19" s="24"/>
      <c r="L19" s="24"/>
      <c r="M19" s="24"/>
      <c r="N19" s="24"/>
      <c r="O19" s="24">
        <f t="shared" si="1"/>
        <v>0</v>
      </c>
      <c r="P19" s="9">
        <f>Wine!$O19*Wine!$E19</f>
        <v>0</v>
      </c>
      <c r="Q19" s="24"/>
      <c r="R19" s="24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">
      <c r="A20" s="41" t="s">
        <v>58</v>
      </c>
      <c r="B20" s="14">
        <v>25.36</v>
      </c>
      <c r="C20" s="24" t="s">
        <v>478</v>
      </c>
      <c r="D20" s="24" t="s">
        <v>476</v>
      </c>
      <c r="E20" s="9">
        <v>39.75</v>
      </c>
      <c r="F20" s="9">
        <f t="shared" si="0"/>
        <v>1.5674290220820191</v>
      </c>
      <c r="G20" s="9">
        <v>155</v>
      </c>
      <c r="H20" s="132">
        <f>Wine!$E20/Wine!$G20</f>
        <v>0.25645161290322582</v>
      </c>
      <c r="I20" s="137">
        <v>39.75</v>
      </c>
      <c r="J20" s="133">
        <f>(Wine!$F20*5)/Wine!$I20</f>
        <v>0.19716088328075709</v>
      </c>
      <c r="K20" s="24"/>
      <c r="L20" s="24"/>
      <c r="M20" s="47">
        <v>9</v>
      </c>
      <c r="N20" s="24"/>
      <c r="O20" s="24">
        <f t="shared" si="1"/>
        <v>9</v>
      </c>
      <c r="P20" s="9">
        <f>Wine!$O20*Wine!$E20</f>
        <v>357.75</v>
      </c>
      <c r="Q20" s="24"/>
      <c r="R20" s="24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">
      <c r="A21" s="24" t="s">
        <v>58</v>
      </c>
      <c r="B21" s="14">
        <v>25.36</v>
      </c>
      <c r="C21" s="24" t="s">
        <v>479</v>
      </c>
      <c r="D21" s="24" t="s">
        <v>476</v>
      </c>
      <c r="E21" s="9">
        <v>65.900000000000006</v>
      </c>
      <c r="F21" s="9">
        <f t="shared" si="0"/>
        <v>2.598580441640379</v>
      </c>
      <c r="G21" s="9">
        <v>170</v>
      </c>
      <c r="H21" s="132">
        <f>Wine!$E21/Wine!$G21</f>
        <v>0.38764705882352946</v>
      </c>
      <c r="I21" s="137">
        <v>65.900000000000006</v>
      </c>
      <c r="J21" s="133">
        <f>(Wine!$F21*5)/Wine!$I21</f>
        <v>0.19716088328075712</v>
      </c>
      <c r="K21" s="24"/>
      <c r="L21" s="24"/>
      <c r="M21" s="47">
        <v>1</v>
      </c>
      <c r="N21" s="24"/>
      <c r="O21" s="24">
        <f t="shared" si="1"/>
        <v>1</v>
      </c>
      <c r="P21" s="9">
        <f>Wine!$O21*Wine!$E21</f>
        <v>65.900000000000006</v>
      </c>
      <c r="Q21" s="24"/>
      <c r="R21" s="24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">
      <c r="A22" s="47" t="s">
        <v>58</v>
      </c>
      <c r="B22" s="140">
        <v>25.36</v>
      </c>
      <c r="C22" s="130" t="s">
        <v>480</v>
      </c>
      <c r="D22" s="131"/>
      <c r="E22" s="9"/>
      <c r="F22" s="9"/>
      <c r="G22" s="9"/>
      <c r="H22" s="132"/>
      <c r="I22" s="9"/>
      <c r="J22" s="132"/>
      <c r="K22" s="24"/>
      <c r="L22" s="24"/>
      <c r="M22" s="47">
        <v>1</v>
      </c>
      <c r="N22" s="24"/>
      <c r="O22" s="24"/>
      <c r="P22" s="9"/>
      <c r="Q22" s="141"/>
      <c r="R22" s="141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">
      <c r="A23" s="24" t="s">
        <v>58</v>
      </c>
      <c r="B23" s="14">
        <v>25.36</v>
      </c>
      <c r="C23" s="131" t="s">
        <v>481</v>
      </c>
      <c r="D23" s="131" t="s">
        <v>476</v>
      </c>
      <c r="E23" s="9">
        <v>80.989999999999995</v>
      </c>
      <c r="F23" s="9">
        <f t="shared" ref="F23:F50" si="2">E23/B23</f>
        <v>3.1936119873817033</v>
      </c>
      <c r="G23" s="9">
        <v>240</v>
      </c>
      <c r="H23" s="132">
        <f>Wine!$E23/Wine!$G23</f>
        <v>0.3374583333333333</v>
      </c>
      <c r="I23" s="9">
        <v>80.989999999999995</v>
      </c>
      <c r="J23" s="132">
        <f>(Wine!$F23*5)/Wine!$I23</f>
        <v>0.19716088328075712</v>
      </c>
      <c r="K23" s="24"/>
      <c r="L23" s="24"/>
      <c r="M23" s="47">
        <v>1</v>
      </c>
      <c r="N23" s="24"/>
      <c r="O23" s="24">
        <f t="shared" ref="O23:O50" si="3">SUM(K23:N23)</f>
        <v>1</v>
      </c>
      <c r="P23" s="9">
        <f>Wine!$O23*Wine!$E23</f>
        <v>80.989999999999995</v>
      </c>
      <c r="Q23" s="141"/>
      <c r="R23" s="141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">
      <c r="A24" s="24" t="s">
        <v>58</v>
      </c>
      <c r="B24" s="14">
        <v>25.36</v>
      </c>
      <c r="C24" s="82" t="s">
        <v>482</v>
      </c>
      <c r="D24" s="82" t="s">
        <v>483</v>
      </c>
      <c r="E24" s="9">
        <v>13</v>
      </c>
      <c r="F24" s="9">
        <f t="shared" si="2"/>
        <v>0.51261829652996849</v>
      </c>
      <c r="G24" s="9">
        <v>52</v>
      </c>
      <c r="H24" s="132">
        <f>Wine!$E24/Wine!$G24</f>
        <v>0.25</v>
      </c>
      <c r="I24" s="9">
        <v>13</v>
      </c>
      <c r="J24" s="132">
        <f>(Wine!$F24*5)/Wine!$I24</f>
        <v>0.19716088328075709</v>
      </c>
      <c r="K24" s="24"/>
      <c r="L24" s="24"/>
      <c r="M24" s="47">
        <v>7</v>
      </c>
      <c r="N24" s="24"/>
      <c r="O24" s="24">
        <f t="shared" si="3"/>
        <v>7</v>
      </c>
      <c r="P24" s="9">
        <f>Wine!$O24*Wine!$E24</f>
        <v>91</v>
      </c>
      <c r="Q24" s="24"/>
      <c r="R24" s="24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">
      <c r="A25" s="24" t="s">
        <v>58</v>
      </c>
      <c r="B25" s="14">
        <v>25.36</v>
      </c>
      <c r="C25" s="82" t="s">
        <v>484</v>
      </c>
      <c r="D25" s="82" t="s">
        <v>483</v>
      </c>
      <c r="E25" s="9">
        <v>18</v>
      </c>
      <c r="F25" s="9">
        <f t="shared" si="2"/>
        <v>0.70977917981072558</v>
      </c>
      <c r="G25" s="9">
        <v>68</v>
      </c>
      <c r="H25" s="132">
        <f>Wine!$E25/Wine!$G25</f>
        <v>0.26470588235294118</v>
      </c>
      <c r="I25" s="9">
        <v>17</v>
      </c>
      <c r="J25" s="132">
        <f>(Wine!$F25*5)/Wine!$I25</f>
        <v>0.20875858229727223</v>
      </c>
      <c r="K25" s="47">
        <v>0.8</v>
      </c>
      <c r="L25" s="24"/>
      <c r="M25" s="47">
        <v>10</v>
      </c>
      <c r="N25" s="47">
        <v>12</v>
      </c>
      <c r="O25" s="24">
        <f t="shared" si="3"/>
        <v>22.8</v>
      </c>
      <c r="P25" s="9">
        <f>Wine!$O25*Wine!$E25</f>
        <v>410.40000000000003</v>
      </c>
      <c r="Q25" s="24"/>
      <c r="R25" s="24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">
      <c r="A26" s="24" t="s">
        <v>58</v>
      </c>
      <c r="B26" s="14">
        <v>25.36</v>
      </c>
      <c r="C26" s="82" t="s">
        <v>485</v>
      </c>
      <c r="D26" s="82"/>
      <c r="E26" s="81">
        <v>18</v>
      </c>
      <c r="F26" s="9">
        <f t="shared" si="2"/>
        <v>0.70977917981072558</v>
      </c>
      <c r="G26" s="81">
        <v>68</v>
      </c>
      <c r="H26" s="132">
        <f>Wine!$E26/Wine!$G26</f>
        <v>0.26470588235294118</v>
      </c>
      <c r="I26" s="9">
        <v>17</v>
      </c>
      <c r="J26" s="132">
        <f>(Wine!$F26*5)/Wine!$I26</f>
        <v>0.20875858229727223</v>
      </c>
      <c r="K26" s="24"/>
      <c r="L26" s="24"/>
      <c r="M26" s="47">
        <v>1</v>
      </c>
      <c r="N26" s="47">
        <v>20</v>
      </c>
      <c r="O26" s="24">
        <f t="shared" si="3"/>
        <v>21</v>
      </c>
      <c r="P26" s="9">
        <f>Wine!$O26*Wine!$E26</f>
        <v>378</v>
      </c>
      <c r="Q26" s="24"/>
      <c r="R26" s="24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">
      <c r="A27" s="24" t="s">
        <v>58</v>
      </c>
      <c r="B27" s="14">
        <v>25.36</v>
      </c>
      <c r="C27" s="24" t="s">
        <v>486</v>
      </c>
      <c r="D27" s="24" t="s">
        <v>487</v>
      </c>
      <c r="E27" s="9">
        <v>20.99</v>
      </c>
      <c r="F27" s="9">
        <f t="shared" si="2"/>
        <v>0.82768138801261826</v>
      </c>
      <c r="G27" s="9">
        <v>65</v>
      </c>
      <c r="H27" s="132">
        <f>Wine!$E27/Wine!$G$27</f>
        <v>0.32292307692307692</v>
      </c>
      <c r="I27" s="9">
        <v>16</v>
      </c>
      <c r="J27" s="132">
        <f>(Wine!$F27*5)/Wine!$I$27</f>
        <v>0.2586504337539432</v>
      </c>
      <c r="K27" s="24"/>
      <c r="L27" s="24"/>
      <c r="M27" s="47">
        <v>2</v>
      </c>
      <c r="N27" s="24"/>
      <c r="O27" s="24">
        <f t="shared" si="3"/>
        <v>2</v>
      </c>
      <c r="P27" s="9">
        <f>Wine!$O27*Wine!$E27</f>
        <v>41.98</v>
      </c>
      <c r="Q27" s="24"/>
      <c r="R27" s="24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2">
      <c r="A28" s="24" t="s">
        <v>58</v>
      </c>
      <c r="B28" s="14">
        <v>25.36</v>
      </c>
      <c r="C28" s="24" t="s">
        <v>488</v>
      </c>
      <c r="D28" s="24" t="s">
        <v>487</v>
      </c>
      <c r="E28" s="9">
        <v>14</v>
      </c>
      <c r="F28" s="9">
        <f t="shared" si="2"/>
        <v>0.55205047318611988</v>
      </c>
      <c r="G28" s="9">
        <v>60</v>
      </c>
      <c r="H28" s="132">
        <f>Wine!$E28/Wine!$G$27</f>
        <v>0.2153846153846154</v>
      </c>
      <c r="I28" s="9">
        <v>16</v>
      </c>
      <c r="J28" s="132">
        <f>(Wine!$F28*5)/Wine!$I$27</f>
        <v>0.17251577287066247</v>
      </c>
      <c r="K28" s="24"/>
      <c r="L28" s="24"/>
      <c r="M28" s="24"/>
      <c r="N28" s="24"/>
      <c r="O28" s="24">
        <f t="shared" si="3"/>
        <v>0</v>
      </c>
      <c r="P28" s="9">
        <f>Wine!$O28*Wine!$E28</f>
        <v>0</v>
      </c>
      <c r="Q28" s="24"/>
      <c r="R28" s="24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2">
      <c r="A29" s="41" t="s">
        <v>58</v>
      </c>
      <c r="B29" s="14">
        <v>25.36</v>
      </c>
      <c r="C29" s="24" t="s">
        <v>489</v>
      </c>
      <c r="D29" s="24" t="s">
        <v>487</v>
      </c>
      <c r="E29" s="9">
        <v>16</v>
      </c>
      <c r="F29" s="9">
        <f t="shared" si="2"/>
        <v>0.63091482649842268</v>
      </c>
      <c r="G29" s="9">
        <v>64</v>
      </c>
      <c r="H29" s="132">
        <f>Wine!$E29/Wine!$G29</f>
        <v>0.25</v>
      </c>
      <c r="I29" s="142">
        <v>16</v>
      </c>
      <c r="J29" s="143">
        <f>(Wine!$F29*5)/Wine!$I29</f>
        <v>0.19716088328075709</v>
      </c>
      <c r="K29" s="24"/>
      <c r="L29" s="24"/>
      <c r="M29" s="24"/>
      <c r="N29" s="24"/>
      <c r="O29" s="24">
        <f t="shared" si="3"/>
        <v>0</v>
      </c>
      <c r="P29" s="9">
        <f>Wine!$O29*Wine!$E29</f>
        <v>0</v>
      </c>
      <c r="Q29" s="24"/>
      <c r="R29" s="24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2">
      <c r="A30" s="41" t="s">
        <v>58</v>
      </c>
      <c r="B30" s="14">
        <v>25.36</v>
      </c>
      <c r="C30" s="138" t="s">
        <v>490</v>
      </c>
      <c r="D30" s="138" t="s">
        <v>487</v>
      </c>
      <c r="E30" s="9">
        <v>16.09</v>
      </c>
      <c r="F30" s="9">
        <f t="shared" si="2"/>
        <v>0.63446372239747639</v>
      </c>
      <c r="G30" s="9">
        <v>62</v>
      </c>
      <c r="H30" s="132">
        <f>Wine!$E30/Wine!$G$30</f>
        <v>0.25951612903225807</v>
      </c>
      <c r="I30" s="137">
        <v>16</v>
      </c>
      <c r="J30" s="132">
        <f>(Wine!$F30*5)/Wine!$I$30</f>
        <v>0.19826991324921137</v>
      </c>
      <c r="K30" s="24"/>
      <c r="L30" s="24"/>
      <c r="M30" s="47">
        <v>3</v>
      </c>
      <c r="N30" s="47">
        <v>2</v>
      </c>
      <c r="O30" s="24">
        <f t="shared" si="3"/>
        <v>5</v>
      </c>
      <c r="P30" s="9">
        <f>Wine!$O30*Wine!$E30</f>
        <v>80.45</v>
      </c>
      <c r="Q30" s="24"/>
      <c r="R30" s="24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2">
      <c r="A31" s="24" t="s">
        <v>58</v>
      </c>
      <c r="B31" s="14">
        <v>25.36</v>
      </c>
      <c r="C31" s="24" t="s">
        <v>491</v>
      </c>
      <c r="D31" s="24" t="s">
        <v>487</v>
      </c>
      <c r="E31" s="9">
        <v>15.75</v>
      </c>
      <c r="F31" s="9">
        <f t="shared" si="2"/>
        <v>0.62105678233438488</v>
      </c>
      <c r="G31" s="9">
        <v>60</v>
      </c>
      <c r="H31" s="132">
        <f>Wine!$E31/Wine!$G$30</f>
        <v>0.25403225806451613</v>
      </c>
      <c r="I31" s="9">
        <v>16</v>
      </c>
      <c r="J31" s="132">
        <f>(Wine!$F31*5)/Wine!$I$30</f>
        <v>0.19408024447949529</v>
      </c>
      <c r="K31" s="24"/>
      <c r="L31" s="24"/>
      <c r="M31" s="47">
        <v>7</v>
      </c>
      <c r="N31" s="24"/>
      <c r="O31" s="24">
        <f t="shared" si="3"/>
        <v>7</v>
      </c>
      <c r="P31" s="9">
        <f>Wine!$O31*Wine!$E31</f>
        <v>110.25</v>
      </c>
      <c r="Q31" s="24"/>
      <c r="R31" s="24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2">
      <c r="A32" s="24" t="s">
        <v>58</v>
      </c>
      <c r="B32" s="14">
        <v>25.36</v>
      </c>
      <c r="C32" s="24" t="s">
        <v>492</v>
      </c>
      <c r="D32" s="24" t="s">
        <v>487</v>
      </c>
      <c r="E32" s="9">
        <v>15</v>
      </c>
      <c r="F32" s="9">
        <f t="shared" si="2"/>
        <v>0.59148264984227128</v>
      </c>
      <c r="G32" s="9">
        <v>60</v>
      </c>
      <c r="H32" s="132">
        <f>Wine!$E32/Wine!$G$30</f>
        <v>0.24193548387096775</v>
      </c>
      <c r="I32" s="9">
        <v>16</v>
      </c>
      <c r="J32" s="132">
        <f>(Wine!$F32*5)/Wine!$I$30</f>
        <v>0.18483832807570977</v>
      </c>
      <c r="K32" s="24"/>
      <c r="L32" s="24"/>
      <c r="M32" s="47">
        <v>3</v>
      </c>
      <c r="N32" s="47">
        <v>10</v>
      </c>
      <c r="O32" s="24">
        <f t="shared" si="3"/>
        <v>13</v>
      </c>
      <c r="P32" s="9">
        <f>Wine!$O32*Wine!$E32</f>
        <v>195</v>
      </c>
      <c r="Q32" s="24"/>
      <c r="R32" s="24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2">
      <c r="A33" s="24" t="s">
        <v>58</v>
      </c>
      <c r="B33" s="14">
        <v>25.36</v>
      </c>
      <c r="C33" s="24" t="s">
        <v>493</v>
      </c>
      <c r="D33" s="24" t="s">
        <v>487</v>
      </c>
      <c r="E33" s="9">
        <v>22.12</v>
      </c>
      <c r="F33" s="9">
        <f t="shared" si="2"/>
        <v>0.87223974763406942</v>
      </c>
      <c r="G33" s="9">
        <v>86</v>
      </c>
      <c r="H33" s="132">
        <f>Wine!$E33/Wine!$G33</f>
        <v>0.25720930232558142</v>
      </c>
      <c r="I33" s="9">
        <v>23</v>
      </c>
      <c r="J33" s="132">
        <f>(Wine!$F33*5)/Wine!$I33</f>
        <v>0.18961733644218901</v>
      </c>
      <c r="K33" s="24"/>
      <c r="L33" s="24"/>
      <c r="M33" s="47">
        <v>4</v>
      </c>
      <c r="N33" s="24"/>
      <c r="O33" s="24">
        <f t="shared" si="3"/>
        <v>4</v>
      </c>
      <c r="P33" s="9">
        <f>Wine!$O33*Wine!$E33</f>
        <v>88.48</v>
      </c>
      <c r="Q33" s="24"/>
      <c r="R33" s="24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2">
      <c r="A34" s="41" t="s">
        <v>58</v>
      </c>
      <c r="B34" s="14">
        <v>25.36</v>
      </c>
      <c r="C34" s="138" t="s">
        <v>494</v>
      </c>
      <c r="D34" s="138" t="s">
        <v>487</v>
      </c>
      <c r="E34" s="9">
        <v>28</v>
      </c>
      <c r="F34" s="9">
        <f t="shared" si="2"/>
        <v>1.1041009463722398</v>
      </c>
      <c r="G34" s="9">
        <v>95</v>
      </c>
      <c r="H34" s="132">
        <f>Wine!$E34/Wine!$G34</f>
        <v>0.29473684210526313</v>
      </c>
      <c r="I34" s="9">
        <v>24</v>
      </c>
      <c r="J34" s="132">
        <f>(Wine!$F34*5)/Wine!$I34</f>
        <v>0.23002103049421663</v>
      </c>
      <c r="K34" s="24"/>
      <c r="L34" s="24"/>
      <c r="M34" s="47">
        <v>4</v>
      </c>
      <c r="N34" s="135"/>
      <c r="O34" s="24">
        <f t="shared" si="3"/>
        <v>4</v>
      </c>
      <c r="P34" s="9">
        <f>Wine!$O34*Wine!$E34</f>
        <v>112</v>
      </c>
      <c r="Q34" s="24"/>
      <c r="R34" s="24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2">
      <c r="A35" s="41" t="s">
        <v>58</v>
      </c>
      <c r="B35" s="14">
        <v>25.36</v>
      </c>
      <c r="C35" s="138" t="s">
        <v>495</v>
      </c>
      <c r="D35" s="138" t="s">
        <v>487</v>
      </c>
      <c r="E35" s="9">
        <v>37.380000000000003</v>
      </c>
      <c r="F35" s="9">
        <f t="shared" si="2"/>
        <v>1.4739747634069402</v>
      </c>
      <c r="G35" s="9">
        <v>220</v>
      </c>
      <c r="H35" s="132">
        <f>Wine!$E35/Wine!$G35</f>
        <v>0.16990909090909093</v>
      </c>
      <c r="I35" s="9">
        <v>50</v>
      </c>
      <c r="J35" s="132">
        <f>(Wine!$F35*5)/Wine!$I35</f>
        <v>0.14739747634069403</v>
      </c>
      <c r="K35" s="24"/>
      <c r="L35" s="24"/>
      <c r="M35" s="47">
        <v>2</v>
      </c>
      <c r="N35" s="135"/>
      <c r="O35" s="24">
        <f t="shared" si="3"/>
        <v>2</v>
      </c>
      <c r="P35" s="9">
        <f>Wine!$O35*Wine!$E35</f>
        <v>74.760000000000005</v>
      </c>
      <c r="Q35" s="24"/>
      <c r="R35" s="24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2">
      <c r="A36" s="41" t="s">
        <v>58</v>
      </c>
      <c r="B36" s="14">
        <v>25.36</v>
      </c>
      <c r="C36" s="138" t="s">
        <v>496</v>
      </c>
      <c r="D36" s="138" t="s">
        <v>487</v>
      </c>
      <c r="E36" s="9">
        <v>14</v>
      </c>
      <c r="F36" s="9">
        <f t="shared" si="2"/>
        <v>0.55205047318611988</v>
      </c>
      <c r="G36" s="9">
        <v>56</v>
      </c>
      <c r="H36" s="132">
        <f>Wine!$E36/Wine!$G36</f>
        <v>0.25</v>
      </c>
      <c r="I36" s="137">
        <v>14</v>
      </c>
      <c r="J36" s="133">
        <f>(Wine!$F36*5)/Wine!$I36</f>
        <v>0.19716088328075712</v>
      </c>
      <c r="K36" s="24"/>
      <c r="L36" s="24"/>
      <c r="M36" s="24"/>
      <c r="N36" s="135"/>
      <c r="O36" s="24">
        <f t="shared" si="3"/>
        <v>0</v>
      </c>
      <c r="P36" s="9">
        <f>Wine!$O36*Wine!$E36</f>
        <v>0</v>
      </c>
      <c r="Q36" s="24"/>
      <c r="R36" s="24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2">
      <c r="A37" s="24" t="s">
        <v>58</v>
      </c>
      <c r="B37" s="14">
        <v>25.36</v>
      </c>
      <c r="C37" s="138" t="s">
        <v>497</v>
      </c>
      <c r="D37" s="138" t="s">
        <v>498</v>
      </c>
      <c r="E37" s="9">
        <v>20</v>
      </c>
      <c r="F37" s="9">
        <f t="shared" si="2"/>
        <v>0.78864353312302837</v>
      </c>
      <c r="G37" s="9">
        <v>80</v>
      </c>
      <c r="H37" s="132">
        <f>Wine!$E37/Wine!$G37</f>
        <v>0.25</v>
      </c>
      <c r="I37" s="137">
        <v>20</v>
      </c>
      <c r="J37" s="133">
        <f>(Wine!$F37*5)/Wine!$I37</f>
        <v>0.19716088328075709</v>
      </c>
      <c r="K37" s="24"/>
      <c r="L37" s="24"/>
      <c r="M37" s="47">
        <v>13</v>
      </c>
      <c r="N37" s="24"/>
      <c r="O37" s="24">
        <f t="shared" si="3"/>
        <v>13</v>
      </c>
      <c r="P37" s="9">
        <f>Wine!$O37*Wine!$E37</f>
        <v>260</v>
      </c>
      <c r="Q37" s="24"/>
      <c r="R37" s="24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2">
      <c r="A38" s="24" t="s">
        <v>58</v>
      </c>
      <c r="B38" s="14">
        <v>25.36</v>
      </c>
      <c r="C38" s="138" t="s">
        <v>499</v>
      </c>
      <c r="D38" s="138" t="s">
        <v>498</v>
      </c>
      <c r="E38" s="9">
        <v>26</v>
      </c>
      <c r="F38" s="9">
        <f t="shared" si="2"/>
        <v>1.025236593059937</v>
      </c>
      <c r="G38" s="9">
        <v>90</v>
      </c>
      <c r="H38" s="132">
        <f>Wine!$E38/Wine!$G38</f>
        <v>0.28888888888888886</v>
      </c>
      <c r="I38" s="137">
        <v>23</v>
      </c>
      <c r="J38" s="133">
        <f>(Wine!$F38*5)/Wine!$I38</f>
        <v>0.22287752023042107</v>
      </c>
      <c r="K38" s="24"/>
      <c r="L38" s="24"/>
      <c r="M38" s="47">
        <v>3.7</v>
      </c>
      <c r="N38" s="24"/>
      <c r="O38" s="24">
        <f t="shared" si="3"/>
        <v>3.7</v>
      </c>
      <c r="P38" s="9">
        <f>Wine!$O38*Wine!$E38</f>
        <v>96.2</v>
      </c>
      <c r="Q38" s="24"/>
      <c r="R38" s="24"/>
      <c r="S38" s="2"/>
      <c r="T38" s="2"/>
      <c r="U38" s="2"/>
      <c r="V38" s="2"/>
      <c r="W38" s="2"/>
      <c r="X38" s="2"/>
      <c r="Y38" s="2"/>
      <c r="Z38" s="2"/>
    </row>
    <row r="39" spans="1:26" ht="18.75" customHeight="1" x14ac:dyDescent="0.2">
      <c r="A39" s="41" t="s">
        <v>58</v>
      </c>
      <c r="B39" s="14">
        <v>25.36</v>
      </c>
      <c r="C39" s="138" t="s">
        <v>500</v>
      </c>
      <c r="D39" s="138" t="s">
        <v>498</v>
      </c>
      <c r="E39" s="9">
        <v>26</v>
      </c>
      <c r="F39" s="9">
        <f t="shared" si="2"/>
        <v>1.025236593059937</v>
      </c>
      <c r="G39" s="9">
        <v>75</v>
      </c>
      <c r="H39" s="132">
        <f>Wine!$E39/Wine!$G39</f>
        <v>0.34666666666666668</v>
      </c>
      <c r="I39" s="137">
        <v>20</v>
      </c>
      <c r="J39" s="133">
        <f>(Wine!$F39*5)/Wine!$I39</f>
        <v>0.25630914826498424</v>
      </c>
      <c r="K39" s="24"/>
      <c r="L39" s="24"/>
      <c r="M39" s="47">
        <v>2</v>
      </c>
      <c r="N39" s="47">
        <v>12</v>
      </c>
      <c r="O39" s="24">
        <f t="shared" si="3"/>
        <v>14</v>
      </c>
      <c r="P39" s="9">
        <f>Wine!$O39*Wine!$E39</f>
        <v>364</v>
      </c>
      <c r="Q39" s="24"/>
      <c r="R39" s="144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2">
      <c r="A40" s="41" t="s">
        <v>58</v>
      </c>
      <c r="B40" s="14">
        <v>25.36</v>
      </c>
      <c r="C40" s="138" t="s">
        <v>501</v>
      </c>
      <c r="D40" s="138" t="s">
        <v>498</v>
      </c>
      <c r="E40" s="9">
        <v>18.2</v>
      </c>
      <c r="F40" s="9">
        <f t="shared" si="2"/>
        <v>0.71766561514195581</v>
      </c>
      <c r="G40" s="9">
        <v>70</v>
      </c>
      <c r="H40" s="132">
        <f>Wine!$E40/Wine!$G40</f>
        <v>0.26</v>
      </c>
      <c r="I40" s="137">
        <v>18</v>
      </c>
      <c r="J40" s="133">
        <f>(Wine!$F40*5)/Wine!$I40</f>
        <v>0.19935155976165439</v>
      </c>
      <c r="K40" s="47">
        <v>1.4</v>
      </c>
      <c r="L40" s="24"/>
      <c r="M40" s="24"/>
      <c r="N40" s="24"/>
      <c r="O40" s="24">
        <f t="shared" si="3"/>
        <v>1.4</v>
      </c>
      <c r="P40" s="9">
        <f>Wine!$O40*Wine!$E40</f>
        <v>25.479999999999997</v>
      </c>
      <c r="Q40" s="24"/>
      <c r="R40" s="144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2">
      <c r="A41" s="145" t="s">
        <v>58</v>
      </c>
      <c r="B41" s="140">
        <v>25.36</v>
      </c>
      <c r="C41" s="146" t="s">
        <v>502</v>
      </c>
      <c r="D41" s="147" t="s">
        <v>498</v>
      </c>
      <c r="E41" s="81">
        <v>59</v>
      </c>
      <c r="F41" s="9">
        <f t="shared" si="2"/>
        <v>2.3264984227129339</v>
      </c>
      <c r="G41" s="81"/>
      <c r="H41" s="132" t="e">
        <f>Wine!$E41/Wine!$G41</f>
        <v>#DIV/0!</v>
      </c>
      <c r="I41" s="137">
        <v>18</v>
      </c>
      <c r="J41" s="133">
        <f>(Wine!$F41*5)/Wine!$I41</f>
        <v>0.64624956186470384</v>
      </c>
      <c r="K41" s="24"/>
      <c r="L41" s="24"/>
      <c r="M41" s="24"/>
      <c r="N41" s="47">
        <v>23</v>
      </c>
      <c r="O41" s="24">
        <f t="shared" si="3"/>
        <v>23</v>
      </c>
      <c r="P41" s="9">
        <f>Wine!$O41*Wine!$E41</f>
        <v>1357</v>
      </c>
      <c r="Q41" s="87"/>
      <c r="R41" s="87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2">
      <c r="A42" s="41" t="s">
        <v>58</v>
      </c>
      <c r="B42" s="14">
        <v>25.36</v>
      </c>
      <c r="C42" s="138" t="s">
        <v>503</v>
      </c>
      <c r="D42" s="138" t="s">
        <v>498</v>
      </c>
      <c r="E42" s="9">
        <v>14</v>
      </c>
      <c r="F42" s="9">
        <f t="shared" si="2"/>
        <v>0.55205047318611988</v>
      </c>
      <c r="G42" s="9">
        <v>58</v>
      </c>
      <c r="H42" s="132">
        <f>Wine!$E42/Wine!$G42</f>
        <v>0.2413793103448276</v>
      </c>
      <c r="I42" s="137">
        <v>14</v>
      </c>
      <c r="J42" s="133">
        <f>(Wine!$F42*5)/Wine!$I42</f>
        <v>0.19716088328075712</v>
      </c>
      <c r="K42" s="24"/>
      <c r="L42" s="24"/>
      <c r="M42" s="47">
        <v>9</v>
      </c>
      <c r="N42" s="24"/>
      <c r="O42" s="24">
        <f t="shared" si="3"/>
        <v>9</v>
      </c>
      <c r="P42" s="9">
        <f>Wine!$O42*Wine!$E42</f>
        <v>126</v>
      </c>
      <c r="Q42" s="87"/>
      <c r="R42" s="87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2">
      <c r="A43" s="41" t="s">
        <v>58</v>
      </c>
      <c r="B43" s="14">
        <v>25.36</v>
      </c>
      <c r="C43" s="138" t="s">
        <v>504</v>
      </c>
      <c r="D43" s="138" t="s">
        <v>498</v>
      </c>
      <c r="E43" s="9">
        <v>14</v>
      </c>
      <c r="F43" s="9">
        <f t="shared" si="2"/>
        <v>0.55205047318611988</v>
      </c>
      <c r="G43" s="9">
        <v>58</v>
      </c>
      <c r="H43" s="132">
        <f>Wine!$E43/Wine!$G43</f>
        <v>0.2413793103448276</v>
      </c>
      <c r="I43" s="137">
        <v>14</v>
      </c>
      <c r="J43" s="133">
        <f>(Wine!$F43*5)/Wine!$I43</f>
        <v>0.19716088328075712</v>
      </c>
      <c r="K43" s="47">
        <v>4</v>
      </c>
      <c r="L43" s="24"/>
      <c r="M43" s="47">
        <v>14</v>
      </c>
      <c r="N43" s="24"/>
      <c r="O43" s="24">
        <f t="shared" si="3"/>
        <v>18</v>
      </c>
      <c r="P43" s="9">
        <f>Wine!$O43*Wine!$E43</f>
        <v>252</v>
      </c>
      <c r="Q43" s="87"/>
      <c r="R43" s="87"/>
      <c r="S43" s="2"/>
      <c r="T43" s="2"/>
      <c r="U43" s="2"/>
      <c r="V43" s="2"/>
      <c r="W43" s="2"/>
      <c r="X43" s="2"/>
      <c r="Y43" s="2"/>
      <c r="Z43" s="2"/>
    </row>
    <row r="44" spans="1:26" ht="18.75" customHeight="1" x14ac:dyDescent="0.2">
      <c r="A44" s="41" t="s">
        <v>58</v>
      </c>
      <c r="B44" s="14">
        <v>25.36</v>
      </c>
      <c r="C44" s="138" t="s">
        <v>505</v>
      </c>
      <c r="D44" s="138" t="s">
        <v>498</v>
      </c>
      <c r="E44" s="9">
        <v>15.75</v>
      </c>
      <c r="F44" s="9">
        <f t="shared" si="2"/>
        <v>0.62105678233438488</v>
      </c>
      <c r="G44" s="9">
        <v>70</v>
      </c>
      <c r="H44" s="132">
        <f>Wine!$E44/Wine!$G44</f>
        <v>0.22500000000000001</v>
      </c>
      <c r="I44" s="137">
        <v>18</v>
      </c>
      <c r="J44" s="133">
        <f>(Wine!$F44*5)/Wine!$I44</f>
        <v>0.17251577287066247</v>
      </c>
      <c r="K44" s="24"/>
      <c r="L44" s="24"/>
      <c r="M44" s="47">
        <v>7</v>
      </c>
      <c r="N44" s="24"/>
      <c r="O44" s="24">
        <f t="shared" si="3"/>
        <v>7</v>
      </c>
      <c r="P44" s="9">
        <f>Wine!$O44*Wine!$E44</f>
        <v>110.25</v>
      </c>
      <c r="Q44" s="87"/>
      <c r="R44" s="87"/>
      <c r="S44" s="2"/>
      <c r="T44" s="2"/>
      <c r="U44" s="2"/>
      <c r="V44" s="2"/>
      <c r="W44" s="2"/>
      <c r="X44" s="2"/>
      <c r="Y44" s="2"/>
      <c r="Z44" s="2"/>
    </row>
    <row r="45" spans="1:26" ht="18.75" customHeight="1" x14ac:dyDescent="0.2">
      <c r="A45" s="41" t="s">
        <v>58</v>
      </c>
      <c r="B45" s="14">
        <v>25.36</v>
      </c>
      <c r="C45" s="138" t="s">
        <v>506</v>
      </c>
      <c r="D45" s="138" t="s">
        <v>498</v>
      </c>
      <c r="E45" s="9">
        <v>48</v>
      </c>
      <c r="F45" s="9">
        <f t="shared" si="2"/>
        <v>1.8927444794952681</v>
      </c>
      <c r="G45" s="9">
        <v>185</v>
      </c>
      <c r="H45" s="132">
        <f>Wine!$E45/Wine!$G45</f>
        <v>0.25945945945945947</v>
      </c>
      <c r="I45" s="137">
        <v>48</v>
      </c>
      <c r="J45" s="133">
        <f>(Wine!$F45*5)/Wine!$I45</f>
        <v>0.19716088328075709</v>
      </c>
      <c r="K45" s="24"/>
      <c r="L45" s="24"/>
      <c r="M45" s="24"/>
      <c r="N45" s="24"/>
      <c r="O45" s="24">
        <f t="shared" si="3"/>
        <v>0</v>
      </c>
      <c r="P45" s="9">
        <f>Wine!$O45*Wine!$E45</f>
        <v>0</v>
      </c>
      <c r="Q45" s="87"/>
      <c r="R45" s="87"/>
      <c r="S45" s="2"/>
      <c r="T45" s="2"/>
      <c r="U45" s="2"/>
      <c r="V45" s="2"/>
      <c r="W45" s="2"/>
      <c r="X45" s="2"/>
      <c r="Y45" s="2"/>
      <c r="Z45" s="2"/>
    </row>
    <row r="46" spans="1:26" ht="18.75" customHeight="1" x14ac:dyDescent="0.2">
      <c r="A46" s="41" t="s">
        <v>58</v>
      </c>
      <c r="B46" s="41">
        <v>25.36</v>
      </c>
      <c r="C46" s="82" t="s">
        <v>507</v>
      </c>
      <c r="D46" s="82" t="s">
        <v>498</v>
      </c>
      <c r="E46" s="9">
        <v>46</v>
      </c>
      <c r="F46" s="9">
        <f t="shared" si="2"/>
        <v>1.8138801261829653</v>
      </c>
      <c r="G46" s="9">
        <v>150</v>
      </c>
      <c r="H46" s="132">
        <f>Wine!$E46/Wine!$G46</f>
        <v>0.30666666666666664</v>
      </c>
      <c r="I46" s="137">
        <v>43</v>
      </c>
      <c r="J46" s="133">
        <f>(Wine!$F46*5)/Wine!$I46</f>
        <v>0.21091629374220525</v>
      </c>
      <c r="K46" s="24"/>
      <c r="L46" s="24"/>
      <c r="M46" s="47">
        <v>1</v>
      </c>
      <c r="N46" s="24"/>
      <c r="O46" s="24">
        <f t="shared" si="3"/>
        <v>1</v>
      </c>
      <c r="P46" s="9">
        <f>Wine!$O46*Wine!$E46</f>
        <v>46</v>
      </c>
      <c r="Q46" s="24"/>
      <c r="R46" s="24"/>
      <c r="S46" s="2"/>
      <c r="T46" s="2"/>
      <c r="U46" s="2"/>
      <c r="V46" s="2"/>
      <c r="W46" s="2"/>
      <c r="X46" s="2"/>
      <c r="Y46" s="2"/>
      <c r="Z46" s="2"/>
    </row>
    <row r="47" spans="1:26" ht="18.75" customHeight="1" x14ac:dyDescent="0.2">
      <c r="A47" s="41" t="s">
        <v>58</v>
      </c>
      <c r="B47" s="41">
        <v>25.36</v>
      </c>
      <c r="C47" s="82" t="s">
        <v>508</v>
      </c>
      <c r="D47" s="82" t="s">
        <v>498</v>
      </c>
      <c r="E47" s="9">
        <v>20.5</v>
      </c>
      <c r="F47" s="9">
        <f t="shared" si="2"/>
        <v>0.80835962145110407</v>
      </c>
      <c r="G47" s="9">
        <v>80</v>
      </c>
      <c r="H47" s="132">
        <f>Wine!$E47/Wine!$G47</f>
        <v>0.25624999999999998</v>
      </c>
      <c r="I47" s="137">
        <v>20</v>
      </c>
      <c r="J47" s="133">
        <f>(Wine!$F47*5)/Wine!$I47</f>
        <v>0.20208990536277599</v>
      </c>
      <c r="K47" s="24"/>
      <c r="L47" s="47"/>
      <c r="M47" s="47">
        <v>13</v>
      </c>
      <c r="N47" s="24"/>
      <c r="O47" s="24">
        <f t="shared" si="3"/>
        <v>13</v>
      </c>
      <c r="P47" s="9">
        <f>Wine!$O47*Wine!$E47</f>
        <v>266.5</v>
      </c>
      <c r="Q47" s="24"/>
      <c r="R47" s="24"/>
      <c r="S47" s="2"/>
      <c r="T47" s="2"/>
      <c r="U47" s="2"/>
      <c r="V47" s="2"/>
      <c r="W47" s="2"/>
      <c r="X47" s="2"/>
      <c r="Y47" s="2"/>
      <c r="Z47" s="2"/>
    </row>
    <row r="48" spans="1:26" ht="18.75" customHeight="1" x14ac:dyDescent="0.2">
      <c r="A48" s="41" t="s">
        <v>58</v>
      </c>
      <c r="B48" s="14">
        <v>25.36</v>
      </c>
      <c r="C48" s="138" t="s">
        <v>509</v>
      </c>
      <c r="D48" s="138" t="s">
        <v>498</v>
      </c>
      <c r="E48" s="9">
        <v>15.2</v>
      </c>
      <c r="F48" s="9">
        <f t="shared" si="2"/>
        <v>0.59936908517350151</v>
      </c>
      <c r="G48" s="9">
        <v>60</v>
      </c>
      <c r="H48" s="132">
        <f>Wine!$E48/Wine!$G48</f>
        <v>0.2533333333333333</v>
      </c>
      <c r="I48" s="137">
        <v>16</v>
      </c>
      <c r="J48" s="133">
        <f>(Wine!$F48*5)/Wine!$I48</f>
        <v>0.18730283911671922</v>
      </c>
      <c r="K48" s="24"/>
      <c r="L48" s="24"/>
      <c r="M48" s="24"/>
      <c r="N48" s="47">
        <v>1</v>
      </c>
      <c r="O48" s="24">
        <f t="shared" si="3"/>
        <v>1</v>
      </c>
      <c r="P48" s="9">
        <f>Wine!$O48*Wine!$E48</f>
        <v>15.2</v>
      </c>
      <c r="Q48" s="24"/>
      <c r="R48" s="24"/>
      <c r="S48" s="2"/>
      <c r="T48" s="2"/>
      <c r="U48" s="2"/>
      <c r="V48" s="2"/>
      <c r="W48" s="2"/>
      <c r="X48" s="2"/>
      <c r="Y48" s="2"/>
      <c r="Z48" s="2"/>
    </row>
    <row r="49" spans="1:26" ht="18.75" customHeight="1" x14ac:dyDescent="0.2">
      <c r="A49" s="148" t="s">
        <v>510</v>
      </c>
      <c r="B49" s="149">
        <v>16.91</v>
      </c>
      <c r="C49" s="138" t="s">
        <v>511</v>
      </c>
      <c r="D49" s="138" t="s">
        <v>512</v>
      </c>
      <c r="E49" s="9">
        <v>25.75</v>
      </c>
      <c r="F49" s="9">
        <f t="shared" si="2"/>
        <v>1.5227675931401536</v>
      </c>
      <c r="G49" s="9">
        <v>90</v>
      </c>
      <c r="H49" s="132">
        <f>Wine!$E49/Wine!$G49</f>
        <v>0.28611111111111109</v>
      </c>
      <c r="I49" s="137">
        <v>17</v>
      </c>
      <c r="J49" s="133">
        <f>(Wine!$F49*3)/Wine!$I49</f>
        <v>0.26872369290708592</v>
      </c>
      <c r="K49" s="24"/>
      <c r="L49" s="24"/>
      <c r="M49" s="47">
        <v>3.5</v>
      </c>
      <c r="N49" s="24"/>
      <c r="O49" s="24">
        <f t="shared" si="3"/>
        <v>3.5</v>
      </c>
      <c r="P49" s="9">
        <f>Wine!$O49*Wine!$E49</f>
        <v>90.125</v>
      </c>
      <c r="Q49" s="24"/>
      <c r="R49" s="24"/>
      <c r="S49" s="2"/>
      <c r="T49" s="2"/>
      <c r="U49" s="2"/>
      <c r="V49" s="2"/>
      <c r="W49" s="2"/>
      <c r="X49" s="2"/>
      <c r="Y49" s="2"/>
      <c r="Z49" s="2"/>
    </row>
    <row r="50" spans="1:26" ht="18.75" customHeight="1" x14ac:dyDescent="0.2">
      <c r="A50" s="41" t="s">
        <v>58</v>
      </c>
      <c r="B50" s="14">
        <v>25.36</v>
      </c>
      <c r="C50" s="138" t="s">
        <v>513</v>
      </c>
      <c r="D50" s="138" t="s">
        <v>512</v>
      </c>
      <c r="E50" s="9">
        <v>46.75</v>
      </c>
      <c r="F50" s="9">
        <f t="shared" si="2"/>
        <v>1.8434542586750788</v>
      </c>
      <c r="G50" s="9"/>
      <c r="H50" s="132" t="e">
        <f>Wine!$E50/Wine!$G50</f>
        <v>#DIV/0!</v>
      </c>
      <c r="I50" s="137">
        <v>18</v>
      </c>
      <c r="J50" s="133">
        <f>(Wine!$F50*3)/Wine!$I50</f>
        <v>0.30724237644584645</v>
      </c>
      <c r="K50" s="47">
        <v>0.6</v>
      </c>
      <c r="L50" s="24"/>
      <c r="M50" s="24"/>
      <c r="N50" s="24"/>
      <c r="O50" s="24">
        <f t="shared" si="3"/>
        <v>0.6</v>
      </c>
      <c r="P50" s="9">
        <f>Wine!$O50*Wine!$E50</f>
        <v>28.05</v>
      </c>
      <c r="Q50" s="24"/>
      <c r="R50" s="24"/>
      <c r="S50" s="2"/>
      <c r="T50" s="2"/>
      <c r="U50" s="2"/>
      <c r="V50" s="2"/>
      <c r="W50" s="2"/>
      <c r="X50" s="2"/>
      <c r="Y50" s="2"/>
      <c r="Z50" s="2"/>
    </row>
    <row r="51" spans="1:26" ht="18.75" customHeight="1" x14ac:dyDescent="0.2">
      <c r="A51" s="150"/>
      <c r="B51" s="151"/>
      <c r="C51" s="152" t="s">
        <v>514</v>
      </c>
      <c r="D51" s="152"/>
      <c r="E51" s="153"/>
      <c r="F51" s="153"/>
      <c r="G51" s="153"/>
      <c r="H51" s="154" t="e">
        <f>SUBTOTAL(101,Wine!$H$3:$H$48)</f>
        <v>#DIV/0!</v>
      </c>
      <c r="I51" s="153"/>
      <c r="J51" s="154">
        <f>SUBTOTAL(101,Wine!$J$3:$J$48)</f>
        <v>0.20524620684653483</v>
      </c>
      <c r="K51" s="152"/>
      <c r="L51" s="152"/>
      <c r="M51" s="152"/>
      <c r="N51" s="152"/>
      <c r="O51" s="152"/>
      <c r="P51" s="153">
        <f>SUM(P3:P48)</f>
        <v>8823.3369999999995</v>
      </c>
      <c r="Q51" s="152"/>
      <c r="R51" s="152"/>
      <c r="S51" s="155"/>
      <c r="T51" s="155"/>
      <c r="U51" s="155"/>
      <c r="V51" s="155"/>
      <c r="W51" s="155"/>
      <c r="X51" s="155"/>
      <c r="Y51" s="155"/>
      <c r="Z51" s="155"/>
    </row>
    <row r="52" spans="1:26" ht="18.75" customHeight="1" x14ac:dyDescent="0.2">
      <c r="A52" s="2"/>
      <c r="B52" s="2"/>
      <c r="C52" s="2"/>
      <c r="D52" s="2"/>
      <c r="E52" s="112"/>
      <c r="F52" s="112"/>
      <c r="G52" s="112"/>
      <c r="H52" s="156"/>
      <c r="I52" s="112"/>
      <c r="J52" s="156"/>
      <c r="K52" s="2"/>
      <c r="L52" s="2"/>
      <c r="M52" s="155"/>
      <c r="N52" s="2"/>
      <c r="O52" s="2"/>
      <c r="P52" s="11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 x14ac:dyDescent="0.2">
      <c r="A53" s="2"/>
      <c r="B53" s="2"/>
      <c r="C53" s="2"/>
      <c r="D53" s="2"/>
      <c r="E53" s="112"/>
      <c r="F53" s="112"/>
      <c r="G53" s="112"/>
      <c r="H53" s="156"/>
      <c r="I53" s="157" t="e">
        <f>AVERAGE(H3:H48,J3:J48)</f>
        <v>#DIV/0!</v>
      </c>
      <c r="J53" s="156"/>
      <c r="K53" s="2"/>
      <c r="L53" s="2"/>
      <c r="M53" s="2"/>
      <c r="N53" s="2"/>
      <c r="O53" s="2"/>
      <c r="P53" s="11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112"/>
      <c r="F54" s="112"/>
      <c r="G54" s="112"/>
      <c r="H54" s="156"/>
      <c r="I54" s="112"/>
      <c r="J54" s="156"/>
      <c r="K54" s="2"/>
      <c r="L54" s="2"/>
      <c r="M54" s="2"/>
      <c r="N54" s="2"/>
      <c r="O54" s="2"/>
      <c r="P54" s="11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 x14ac:dyDescent="0.2">
      <c r="A55" s="2"/>
      <c r="B55" s="2"/>
      <c r="C55" s="2"/>
      <c r="D55" s="2"/>
      <c r="E55" s="112"/>
      <c r="F55" s="112"/>
      <c r="G55" s="112"/>
      <c r="H55" s="156"/>
      <c r="I55" s="112"/>
      <c r="J55" s="156"/>
      <c r="K55" s="2"/>
      <c r="L55" s="2"/>
      <c r="M55" s="2"/>
      <c r="N55" s="2"/>
      <c r="O55" s="2"/>
      <c r="P55" s="11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 x14ac:dyDescent="0.2">
      <c r="A56" s="2"/>
      <c r="B56" s="2"/>
      <c r="C56" s="2"/>
      <c r="D56" s="2"/>
      <c r="E56" s="112"/>
      <c r="F56" s="112"/>
      <c r="G56" s="112"/>
      <c r="H56" s="156"/>
      <c r="I56" s="112"/>
      <c r="J56" s="156"/>
      <c r="K56" s="2"/>
      <c r="L56" s="2"/>
      <c r="M56" s="2"/>
      <c r="N56" s="2"/>
      <c r="O56" s="2"/>
      <c r="P56" s="11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 x14ac:dyDescent="0.2">
      <c r="A57" s="2"/>
      <c r="B57" s="2"/>
      <c r="C57" s="2"/>
      <c r="D57" s="2"/>
      <c r="E57" s="112"/>
      <c r="F57" s="112"/>
      <c r="G57" s="112"/>
      <c r="H57" s="156"/>
      <c r="I57" s="112"/>
      <c r="J57" s="156"/>
      <c r="K57" s="2"/>
      <c r="L57" s="2"/>
      <c r="M57" s="2"/>
      <c r="N57" s="2"/>
      <c r="O57" s="2"/>
      <c r="P57" s="11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 x14ac:dyDescent="0.2">
      <c r="A58" s="2"/>
      <c r="B58" s="2"/>
      <c r="C58" s="2"/>
      <c r="D58" s="2"/>
      <c r="E58" s="112"/>
      <c r="F58" s="112"/>
      <c r="G58" s="112"/>
      <c r="H58" s="156"/>
      <c r="I58" s="112"/>
      <c r="J58" s="156"/>
      <c r="K58" s="2"/>
      <c r="L58" s="2"/>
      <c r="M58" s="2"/>
      <c r="N58" s="2"/>
      <c r="O58" s="2"/>
      <c r="P58" s="11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 x14ac:dyDescent="0.2">
      <c r="A59" s="2"/>
      <c r="B59" s="2"/>
      <c r="C59" s="2"/>
      <c r="D59" s="2"/>
      <c r="E59" s="112"/>
      <c r="F59" s="112"/>
      <c r="G59" s="112"/>
      <c r="H59" s="156"/>
      <c r="I59" s="112"/>
      <c r="J59" s="156"/>
      <c r="K59" s="2"/>
      <c r="L59" s="2"/>
      <c r="M59" s="2"/>
      <c r="N59" s="2"/>
      <c r="O59" s="2"/>
      <c r="P59" s="11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 x14ac:dyDescent="0.2">
      <c r="A60" s="2"/>
      <c r="B60" s="2"/>
      <c r="C60" s="2"/>
      <c r="D60" s="2"/>
      <c r="E60" s="112"/>
      <c r="F60" s="112"/>
      <c r="G60" s="112"/>
      <c r="H60" s="156"/>
      <c r="I60" s="112"/>
      <c r="J60" s="156"/>
      <c r="K60" s="2"/>
      <c r="L60" s="2"/>
      <c r="M60" s="2"/>
      <c r="N60" s="2"/>
      <c r="O60" s="2"/>
      <c r="P60" s="11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 x14ac:dyDescent="0.2">
      <c r="A61" s="2"/>
      <c r="B61" s="2"/>
      <c r="C61" s="2"/>
      <c r="D61" s="2"/>
      <c r="E61" s="112"/>
      <c r="F61" s="112"/>
      <c r="G61" s="112"/>
      <c r="H61" s="156"/>
      <c r="I61" s="112"/>
      <c r="J61" s="156"/>
      <c r="K61" s="2"/>
      <c r="L61" s="2"/>
      <c r="M61" s="2"/>
      <c r="N61" s="2"/>
      <c r="O61" s="2"/>
      <c r="P61" s="11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 x14ac:dyDescent="0.2">
      <c r="A62" s="2"/>
      <c r="B62" s="2"/>
      <c r="C62" s="2"/>
      <c r="D62" s="2"/>
      <c r="E62" s="112"/>
      <c r="F62" s="112"/>
      <c r="G62" s="112"/>
      <c r="H62" s="156"/>
      <c r="I62" s="112"/>
      <c r="J62" s="156"/>
      <c r="K62" s="2"/>
      <c r="L62" s="2"/>
      <c r="M62" s="2"/>
      <c r="N62" s="2"/>
      <c r="O62" s="2"/>
      <c r="P62" s="11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 x14ac:dyDescent="0.2">
      <c r="A63" s="2"/>
      <c r="B63" s="2"/>
      <c r="C63" s="2"/>
      <c r="D63" s="2"/>
      <c r="E63" s="112"/>
      <c r="F63" s="112"/>
      <c r="G63" s="112"/>
      <c r="H63" s="156"/>
      <c r="I63" s="112"/>
      <c r="J63" s="156"/>
      <c r="K63" s="2"/>
      <c r="L63" s="2"/>
      <c r="M63" s="2"/>
      <c r="N63" s="2"/>
      <c r="O63" s="2"/>
      <c r="P63" s="11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 x14ac:dyDescent="0.2">
      <c r="A64" s="2"/>
      <c r="B64" s="2"/>
      <c r="C64" s="2"/>
      <c r="D64" s="2"/>
      <c r="E64" s="112"/>
      <c r="F64" s="112"/>
      <c r="G64" s="112"/>
      <c r="H64" s="156"/>
      <c r="I64" s="112"/>
      <c r="J64" s="156"/>
      <c r="K64" s="2"/>
      <c r="L64" s="2"/>
      <c r="M64" s="2"/>
      <c r="N64" s="2"/>
      <c r="O64" s="2"/>
      <c r="P64" s="11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 x14ac:dyDescent="0.2">
      <c r="A65" s="2"/>
      <c r="B65" s="2"/>
      <c r="C65" s="2"/>
      <c r="D65" s="2"/>
      <c r="E65" s="112"/>
      <c r="F65" s="112"/>
      <c r="G65" s="112"/>
      <c r="H65" s="156"/>
      <c r="I65" s="112"/>
      <c r="J65" s="156"/>
      <c r="K65" s="2"/>
      <c r="L65" s="2"/>
      <c r="M65" s="2"/>
      <c r="N65" s="2"/>
      <c r="O65" s="2"/>
      <c r="P65" s="11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 x14ac:dyDescent="0.2">
      <c r="A66" s="2"/>
      <c r="B66" s="2"/>
      <c r="C66" s="2"/>
      <c r="D66" s="2"/>
      <c r="E66" s="112"/>
      <c r="F66" s="112"/>
      <c r="G66" s="112"/>
      <c r="H66" s="156"/>
      <c r="I66" s="112"/>
      <c r="J66" s="156"/>
      <c r="K66" s="2"/>
      <c r="L66" s="2"/>
      <c r="M66" s="2"/>
      <c r="N66" s="2"/>
      <c r="O66" s="2"/>
      <c r="P66" s="11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 x14ac:dyDescent="0.2">
      <c r="A67" s="2"/>
      <c r="B67" s="2"/>
      <c r="C67" s="2"/>
      <c r="D67" s="2"/>
      <c r="E67" s="112"/>
      <c r="F67" s="112"/>
      <c r="G67" s="112"/>
      <c r="H67" s="156"/>
      <c r="I67" s="112"/>
      <c r="J67" s="156"/>
      <c r="K67" s="2"/>
      <c r="L67" s="2"/>
      <c r="M67" s="2"/>
      <c r="N67" s="2"/>
      <c r="O67" s="2"/>
      <c r="P67" s="11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 x14ac:dyDescent="0.2">
      <c r="A68" s="2"/>
      <c r="B68" s="2"/>
      <c r="C68" s="2"/>
      <c r="D68" s="2"/>
      <c r="E68" s="112"/>
      <c r="F68" s="112"/>
      <c r="G68" s="112"/>
      <c r="H68" s="156"/>
      <c r="I68" s="112"/>
      <c r="J68" s="156"/>
      <c r="K68" s="2"/>
      <c r="L68" s="2"/>
      <c r="M68" s="2"/>
      <c r="N68" s="2"/>
      <c r="O68" s="2"/>
      <c r="P68" s="11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 x14ac:dyDescent="0.2">
      <c r="A69" s="2"/>
      <c r="B69" s="2"/>
      <c r="C69" s="2"/>
      <c r="D69" s="2"/>
      <c r="E69" s="112"/>
      <c r="F69" s="112"/>
      <c r="G69" s="112"/>
      <c r="H69" s="156"/>
      <c r="I69" s="112"/>
      <c r="J69" s="156"/>
      <c r="K69" s="2"/>
      <c r="L69" s="2"/>
      <c r="M69" s="2"/>
      <c r="N69" s="2"/>
      <c r="O69" s="2"/>
      <c r="P69" s="11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 x14ac:dyDescent="0.2">
      <c r="A70" s="2"/>
      <c r="B70" s="2"/>
      <c r="C70" s="2"/>
      <c r="D70" s="2"/>
      <c r="E70" s="112"/>
      <c r="F70" s="112"/>
      <c r="G70" s="112"/>
      <c r="H70" s="156"/>
      <c r="I70" s="112"/>
      <c r="J70" s="156"/>
      <c r="K70" s="2"/>
      <c r="L70" s="2"/>
      <c r="M70" s="2"/>
      <c r="N70" s="2"/>
      <c r="O70" s="2"/>
      <c r="P70" s="11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 x14ac:dyDescent="0.2">
      <c r="A71" s="2"/>
      <c r="B71" s="2"/>
      <c r="C71" s="2"/>
      <c r="D71" s="2"/>
      <c r="E71" s="112"/>
      <c r="F71" s="112"/>
      <c r="G71" s="112"/>
      <c r="H71" s="156"/>
      <c r="I71" s="112"/>
      <c r="J71" s="156"/>
      <c r="K71" s="2"/>
      <c r="L71" s="2"/>
      <c r="M71" s="2"/>
      <c r="N71" s="2"/>
      <c r="O71" s="2"/>
      <c r="P71" s="11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 x14ac:dyDescent="0.2">
      <c r="A72" s="2"/>
      <c r="B72" s="2"/>
      <c r="C72" s="2"/>
      <c r="D72" s="2"/>
      <c r="E72" s="112"/>
      <c r="F72" s="112"/>
      <c r="G72" s="112"/>
      <c r="H72" s="156"/>
      <c r="I72" s="112"/>
      <c r="J72" s="156"/>
      <c r="K72" s="2"/>
      <c r="L72" s="2"/>
      <c r="M72" s="2"/>
      <c r="N72" s="2"/>
      <c r="O72" s="2"/>
      <c r="P72" s="11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 x14ac:dyDescent="0.2">
      <c r="A73" s="2"/>
      <c r="B73" s="2"/>
      <c r="C73" s="2"/>
      <c r="D73" s="2"/>
      <c r="E73" s="112"/>
      <c r="F73" s="112"/>
      <c r="G73" s="112"/>
      <c r="H73" s="156"/>
      <c r="I73" s="112"/>
      <c r="J73" s="156"/>
      <c r="K73" s="2"/>
      <c r="L73" s="2"/>
      <c r="M73" s="2"/>
      <c r="N73" s="2"/>
      <c r="O73" s="2"/>
      <c r="P73" s="11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 x14ac:dyDescent="0.2">
      <c r="A74" s="2"/>
      <c r="B74" s="2"/>
      <c r="C74" s="2"/>
      <c r="D74" s="2"/>
      <c r="E74" s="112"/>
      <c r="F74" s="112"/>
      <c r="G74" s="112"/>
      <c r="H74" s="156"/>
      <c r="I74" s="112"/>
      <c r="J74" s="156"/>
      <c r="K74" s="2"/>
      <c r="L74" s="2"/>
      <c r="M74" s="2"/>
      <c r="N74" s="2"/>
      <c r="O74" s="2"/>
      <c r="P74" s="11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 x14ac:dyDescent="0.2">
      <c r="A75" s="2"/>
      <c r="B75" s="2"/>
      <c r="C75" s="2"/>
      <c r="D75" s="2"/>
      <c r="E75" s="112"/>
      <c r="F75" s="112"/>
      <c r="G75" s="112"/>
      <c r="H75" s="156"/>
      <c r="I75" s="112"/>
      <c r="J75" s="156"/>
      <c r="K75" s="2"/>
      <c r="L75" s="2"/>
      <c r="M75" s="2"/>
      <c r="N75" s="2"/>
      <c r="O75" s="2"/>
      <c r="P75" s="11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 x14ac:dyDescent="0.2">
      <c r="A76" s="2"/>
      <c r="B76" s="2"/>
      <c r="C76" s="2"/>
      <c r="D76" s="2"/>
      <c r="E76" s="112"/>
      <c r="F76" s="112"/>
      <c r="G76" s="112"/>
      <c r="H76" s="156"/>
      <c r="I76" s="112"/>
      <c r="J76" s="156"/>
      <c r="K76" s="2"/>
      <c r="L76" s="2"/>
      <c r="M76" s="2"/>
      <c r="N76" s="2"/>
      <c r="O76" s="2"/>
      <c r="P76" s="11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 x14ac:dyDescent="0.2">
      <c r="A77" s="2"/>
      <c r="B77" s="2"/>
      <c r="C77" s="2"/>
      <c r="D77" s="2"/>
      <c r="E77" s="112"/>
      <c r="F77" s="112"/>
      <c r="G77" s="112"/>
      <c r="H77" s="156"/>
      <c r="I77" s="112"/>
      <c r="J77" s="156"/>
      <c r="K77" s="2"/>
      <c r="L77" s="2"/>
      <c r="M77" s="2"/>
      <c r="N77" s="2"/>
      <c r="O77" s="2"/>
      <c r="P77" s="11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 x14ac:dyDescent="0.2">
      <c r="A78" s="2"/>
      <c r="B78" s="2"/>
      <c r="C78" s="2"/>
      <c r="D78" s="2"/>
      <c r="E78" s="112"/>
      <c r="F78" s="112"/>
      <c r="G78" s="112"/>
      <c r="H78" s="156"/>
      <c r="I78" s="112"/>
      <c r="J78" s="156"/>
      <c r="K78" s="2"/>
      <c r="L78" s="2"/>
      <c r="M78" s="2"/>
      <c r="N78" s="2"/>
      <c r="O78" s="2"/>
      <c r="P78" s="11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 x14ac:dyDescent="0.2">
      <c r="A79" s="2"/>
      <c r="B79" s="2"/>
      <c r="C79" s="2"/>
      <c r="D79" s="2"/>
      <c r="E79" s="112"/>
      <c r="F79" s="112"/>
      <c r="G79" s="112"/>
      <c r="H79" s="156"/>
      <c r="I79" s="112"/>
      <c r="J79" s="156"/>
      <c r="K79" s="2"/>
      <c r="L79" s="2"/>
      <c r="M79" s="2"/>
      <c r="N79" s="2"/>
      <c r="O79" s="2"/>
      <c r="P79" s="11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 x14ac:dyDescent="0.2">
      <c r="A80" s="2"/>
      <c r="B80" s="2"/>
      <c r="C80" s="2"/>
      <c r="D80" s="2"/>
      <c r="E80" s="112"/>
      <c r="F80" s="112"/>
      <c r="G80" s="112"/>
      <c r="H80" s="156"/>
      <c r="I80" s="112"/>
      <c r="J80" s="156"/>
      <c r="K80" s="2"/>
      <c r="L80" s="2"/>
      <c r="M80" s="2"/>
      <c r="N80" s="2"/>
      <c r="O80" s="2"/>
      <c r="P80" s="11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 x14ac:dyDescent="0.2">
      <c r="A81" s="2"/>
      <c r="B81" s="2"/>
      <c r="C81" s="2"/>
      <c r="D81" s="2"/>
      <c r="E81" s="112"/>
      <c r="F81" s="112"/>
      <c r="G81" s="112"/>
      <c r="H81" s="156"/>
      <c r="I81" s="112"/>
      <c r="J81" s="156"/>
      <c r="K81" s="2"/>
      <c r="L81" s="2"/>
      <c r="M81" s="2"/>
      <c r="N81" s="2"/>
      <c r="O81" s="2"/>
      <c r="P81" s="11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 x14ac:dyDescent="0.2">
      <c r="A82" s="2"/>
      <c r="B82" s="2"/>
      <c r="C82" s="2"/>
      <c r="D82" s="2"/>
      <c r="E82" s="112"/>
      <c r="F82" s="112"/>
      <c r="G82" s="112"/>
      <c r="H82" s="156"/>
      <c r="I82" s="112"/>
      <c r="J82" s="156"/>
      <c r="K82" s="2"/>
      <c r="L82" s="2"/>
      <c r="M82" s="2"/>
      <c r="N82" s="2"/>
      <c r="O82" s="2"/>
      <c r="P82" s="11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 x14ac:dyDescent="0.2">
      <c r="A83" s="2"/>
      <c r="B83" s="2"/>
      <c r="C83" s="2"/>
      <c r="D83" s="2"/>
      <c r="E83" s="112"/>
      <c r="F83" s="112"/>
      <c r="G83" s="112"/>
      <c r="H83" s="156"/>
      <c r="I83" s="112"/>
      <c r="J83" s="156"/>
      <c r="K83" s="2"/>
      <c r="L83" s="2"/>
      <c r="M83" s="2"/>
      <c r="N83" s="2"/>
      <c r="O83" s="2"/>
      <c r="P83" s="11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 x14ac:dyDescent="0.2">
      <c r="A84" s="2"/>
      <c r="B84" s="2"/>
      <c r="C84" s="2"/>
      <c r="D84" s="2"/>
      <c r="E84" s="112"/>
      <c r="F84" s="112"/>
      <c r="G84" s="112"/>
      <c r="H84" s="156"/>
      <c r="I84" s="112"/>
      <c r="J84" s="156"/>
      <c r="K84" s="2"/>
      <c r="L84" s="2"/>
      <c r="M84" s="2"/>
      <c r="N84" s="2"/>
      <c r="O84" s="2"/>
      <c r="P84" s="11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 x14ac:dyDescent="0.2">
      <c r="A85" s="2"/>
      <c r="B85" s="2"/>
      <c r="C85" s="2"/>
      <c r="D85" s="2"/>
      <c r="E85" s="112"/>
      <c r="F85" s="112"/>
      <c r="G85" s="112"/>
      <c r="H85" s="156"/>
      <c r="I85" s="112"/>
      <c r="J85" s="156"/>
      <c r="K85" s="2"/>
      <c r="L85" s="2"/>
      <c r="M85" s="2"/>
      <c r="N85" s="2"/>
      <c r="O85" s="2"/>
      <c r="P85" s="11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 x14ac:dyDescent="0.2">
      <c r="A86" s="2"/>
      <c r="B86" s="2"/>
      <c r="C86" s="2"/>
      <c r="D86" s="2"/>
      <c r="E86" s="112"/>
      <c r="F86" s="112"/>
      <c r="G86" s="112"/>
      <c r="H86" s="156"/>
      <c r="I86" s="112"/>
      <c r="J86" s="156"/>
      <c r="K86" s="2"/>
      <c r="L86" s="2"/>
      <c r="M86" s="2"/>
      <c r="N86" s="2"/>
      <c r="O86" s="2"/>
      <c r="P86" s="11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 x14ac:dyDescent="0.2">
      <c r="A87" s="2"/>
      <c r="B87" s="2"/>
      <c r="C87" s="2"/>
      <c r="D87" s="2"/>
      <c r="E87" s="112"/>
      <c r="F87" s="112"/>
      <c r="G87" s="112"/>
      <c r="H87" s="156"/>
      <c r="I87" s="112"/>
      <c r="J87" s="156"/>
      <c r="K87" s="2"/>
      <c r="L87" s="2"/>
      <c r="M87" s="2"/>
      <c r="N87" s="2"/>
      <c r="O87" s="2"/>
      <c r="P87" s="11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 x14ac:dyDescent="0.2">
      <c r="A88" s="2"/>
      <c r="B88" s="2"/>
      <c r="C88" s="2"/>
      <c r="D88" s="2"/>
      <c r="E88" s="112"/>
      <c r="F88" s="112"/>
      <c r="G88" s="112"/>
      <c r="H88" s="156"/>
      <c r="I88" s="112"/>
      <c r="J88" s="156"/>
      <c r="K88" s="2"/>
      <c r="L88" s="2"/>
      <c r="M88" s="2"/>
      <c r="N88" s="2"/>
      <c r="O88" s="2"/>
      <c r="P88" s="11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 x14ac:dyDescent="0.2">
      <c r="A89" s="2"/>
      <c r="B89" s="2"/>
      <c r="C89" s="2"/>
      <c r="D89" s="2"/>
      <c r="E89" s="112"/>
      <c r="F89" s="112"/>
      <c r="G89" s="112"/>
      <c r="H89" s="156"/>
      <c r="I89" s="112"/>
      <c r="J89" s="156"/>
      <c r="K89" s="2"/>
      <c r="L89" s="2"/>
      <c r="M89" s="2"/>
      <c r="N89" s="2"/>
      <c r="O89" s="2"/>
      <c r="P89" s="11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 x14ac:dyDescent="0.2">
      <c r="A90" s="2"/>
      <c r="B90" s="2"/>
      <c r="C90" s="2"/>
      <c r="D90" s="2"/>
      <c r="E90" s="112"/>
      <c r="F90" s="112"/>
      <c r="G90" s="112"/>
      <c r="H90" s="156"/>
      <c r="I90" s="112"/>
      <c r="J90" s="156"/>
      <c r="K90" s="2"/>
      <c r="L90" s="2"/>
      <c r="M90" s="2"/>
      <c r="N90" s="2"/>
      <c r="O90" s="2"/>
      <c r="P90" s="11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 x14ac:dyDescent="0.2">
      <c r="A91" s="2"/>
      <c r="B91" s="2"/>
      <c r="C91" s="2"/>
      <c r="D91" s="2"/>
      <c r="E91" s="112"/>
      <c r="F91" s="112"/>
      <c r="G91" s="112"/>
      <c r="H91" s="156"/>
      <c r="I91" s="112"/>
      <c r="J91" s="156"/>
      <c r="K91" s="2"/>
      <c r="L91" s="2"/>
      <c r="M91" s="2"/>
      <c r="N91" s="2"/>
      <c r="O91" s="2"/>
      <c r="P91" s="11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 x14ac:dyDescent="0.2">
      <c r="A92" s="2"/>
      <c r="B92" s="2"/>
      <c r="C92" s="2"/>
      <c r="D92" s="2"/>
      <c r="E92" s="112"/>
      <c r="F92" s="112"/>
      <c r="G92" s="112"/>
      <c r="H92" s="156"/>
      <c r="I92" s="112"/>
      <c r="J92" s="156"/>
      <c r="K92" s="2"/>
      <c r="L92" s="2"/>
      <c r="M92" s="2"/>
      <c r="N92" s="2"/>
      <c r="O92" s="2"/>
      <c r="P92" s="11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 x14ac:dyDescent="0.2">
      <c r="A93" s="2"/>
      <c r="B93" s="2"/>
      <c r="C93" s="2"/>
      <c r="D93" s="2"/>
      <c r="E93" s="112"/>
      <c r="F93" s="112"/>
      <c r="G93" s="112"/>
      <c r="H93" s="156"/>
      <c r="I93" s="112"/>
      <c r="J93" s="156"/>
      <c r="K93" s="2"/>
      <c r="L93" s="2"/>
      <c r="M93" s="2"/>
      <c r="N93" s="2"/>
      <c r="O93" s="2"/>
      <c r="P93" s="11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 x14ac:dyDescent="0.2">
      <c r="A94" s="2"/>
      <c r="B94" s="2"/>
      <c r="C94" s="2"/>
      <c r="D94" s="2"/>
      <c r="E94" s="112"/>
      <c r="F94" s="112"/>
      <c r="G94" s="112"/>
      <c r="H94" s="156"/>
      <c r="I94" s="112"/>
      <c r="J94" s="156"/>
      <c r="K94" s="2"/>
      <c r="L94" s="2"/>
      <c r="M94" s="2"/>
      <c r="N94" s="2"/>
      <c r="O94" s="2"/>
      <c r="P94" s="11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 x14ac:dyDescent="0.2">
      <c r="A95" s="2"/>
      <c r="B95" s="2"/>
      <c r="C95" s="2"/>
      <c r="D95" s="2"/>
      <c r="E95" s="112"/>
      <c r="F95" s="112"/>
      <c r="G95" s="112"/>
      <c r="H95" s="156"/>
      <c r="I95" s="112"/>
      <c r="J95" s="156"/>
      <c r="K95" s="2"/>
      <c r="L95" s="2"/>
      <c r="M95" s="2"/>
      <c r="N95" s="2"/>
      <c r="O95" s="2"/>
      <c r="P95" s="11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 x14ac:dyDescent="0.2">
      <c r="A96" s="2"/>
      <c r="B96" s="2"/>
      <c r="C96" s="2"/>
      <c r="D96" s="2"/>
      <c r="E96" s="112"/>
      <c r="F96" s="112"/>
      <c r="G96" s="112"/>
      <c r="H96" s="156"/>
      <c r="I96" s="112"/>
      <c r="J96" s="156"/>
      <c r="K96" s="2"/>
      <c r="L96" s="2"/>
      <c r="M96" s="2"/>
      <c r="N96" s="2"/>
      <c r="O96" s="2"/>
      <c r="P96" s="11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 x14ac:dyDescent="0.2">
      <c r="A97" s="2"/>
      <c r="B97" s="2"/>
      <c r="C97" s="2"/>
      <c r="D97" s="2"/>
      <c r="E97" s="112"/>
      <c r="F97" s="112"/>
      <c r="G97" s="112"/>
      <c r="H97" s="156"/>
      <c r="I97" s="112"/>
      <c r="J97" s="156"/>
      <c r="K97" s="2"/>
      <c r="L97" s="2"/>
      <c r="M97" s="2"/>
      <c r="N97" s="2"/>
      <c r="O97" s="2"/>
      <c r="P97" s="11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 x14ac:dyDescent="0.2">
      <c r="A98" s="2"/>
      <c r="B98" s="2"/>
      <c r="C98" s="2"/>
      <c r="D98" s="2"/>
      <c r="E98" s="112"/>
      <c r="F98" s="112"/>
      <c r="G98" s="112"/>
      <c r="H98" s="156"/>
      <c r="I98" s="112"/>
      <c r="J98" s="156"/>
      <c r="K98" s="2"/>
      <c r="L98" s="2"/>
      <c r="M98" s="2"/>
      <c r="N98" s="2"/>
      <c r="O98" s="2"/>
      <c r="P98" s="11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 x14ac:dyDescent="0.2">
      <c r="A99" s="2"/>
      <c r="B99" s="2"/>
      <c r="C99" s="2"/>
      <c r="D99" s="2"/>
      <c r="E99" s="112"/>
      <c r="F99" s="112"/>
      <c r="G99" s="112"/>
      <c r="H99" s="156"/>
      <c r="I99" s="112"/>
      <c r="J99" s="156"/>
      <c r="K99" s="2"/>
      <c r="L99" s="2"/>
      <c r="M99" s="2"/>
      <c r="N99" s="2"/>
      <c r="O99" s="2"/>
      <c r="P99" s="11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 x14ac:dyDescent="0.2">
      <c r="A100" s="2"/>
      <c r="B100" s="2"/>
      <c r="C100" s="2"/>
      <c r="D100" s="2"/>
      <c r="E100" s="112"/>
      <c r="F100" s="112"/>
      <c r="G100" s="112"/>
      <c r="H100" s="156"/>
      <c r="I100" s="112"/>
      <c r="J100" s="156"/>
      <c r="K100" s="2"/>
      <c r="L100" s="2"/>
      <c r="M100" s="2"/>
      <c r="N100" s="2"/>
      <c r="O100" s="2"/>
      <c r="P100" s="11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 x14ac:dyDescent="0.2">
      <c r="A101" s="2"/>
      <c r="B101" s="2"/>
      <c r="C101" s="2"/>
      <c r="D101" s="2"/>
      <c r="E101" s="112"/>
      <c r="F101" s="112"/>
      <c r="G101" s="112"/>
      <c r="H101" s="156"/>
      <c r="I101" s="112"/>
      <c r="J101" s="156"/>
      <c r="K101" s="2"/>
      <c r="L101" s="2"/>
      <c r="M101" s="2"/>
      <c r="N101" s="2"/>
      <c r="O101" s="2"/>
      <c r="P101" s="11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 x14ac:dyDescent="0.2">
      <c r="A102" s="2"/>
      <c r="B102" s="2"/>
      <c r="C102" s="2"/>
      <c r="D102" s="2"/>
      <c r="E102" s="112"/>
      <c r="F102" s="112"/>
      <c r="G102" s="112"/>
      <c r="H102" s="156"/>
      <c r="I102" s="112"/>
      <c r="J102" s="156"/>
      <c r="K102" s="2"/>
      <c r="L102" s="2"/>
      <c r="M102" s="2"/>
      <c r="N102" s="2"/>
      <c r="O102" s="2"/>
      <c r="P102" s="11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 x14ac:dyDescent="0.2">
      <c r="A103" s="2"/>
      <c r="B103" s="2"/>
      <c r="C103" s="2"/>
      <c r="D103" s="2"/>
      <c r="E103" s="112"/>
      <c r="F103" s="112"/>
      <c r="G103" s="112"/>
      <c r="H103" s="156"/>
      <c r="I103" s="112"/>
      <c r="J103" s="156"/>
      <c r="K103" s="2"/>
      <c r="L103" s="2"/>
      <c r="M103" s="2"/>
      <c r="N103" s="2"/>
      <c r="O103" s="2"/>
      <c r="P103" s="11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 x14ac:dyDescent="0.2">
      <c r="A104" s="2"/>
      <c r="B104" s="2"/>
      <c r="C104" s="2"/>
      <c r="D104" s="2"/>
      <c r="E104" s="112"/>
      <c r="F104" s="112"/>
      <c r="G104" s="112"/>
      <c r="H104" s="156"/>
      <c r="I104" s="112"/>
      <c r="J104" s="156"/>
      <c r="K104" s="2"/>
      <c r="L104" s="2"/>
      <c r="M104" s="2"/>
      <c r="N104" s="2"/>
      <c r="O104" s="2"/>
      <c r="P104" s="11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 x14ac:dyDescent="0.2">
      <c r="A105" s="2"/>
      <c r="B105" s="2"/>
      <c r="C105" s="2"/>
      <c r="D105" s="2"/>
      <c r="E105" s="112"/>
      <c r="F105" s="112"/>
      <c r="G105" s="112"/>
      <c r="H105" s="156"/>
      <c r="I105" s="112"/>
      <c r="J105" s="156"/>
      <c r="K105" s="2"/>
      <c r="L105" s="2"/>
      <c r="M105" s="2"/>
      <c r="N105" s="2"/>
      <c r="O105" s="2"/>
      <c r="P105" s="11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 x14ac:dyDescent="0.2">
      <c r="A106" s="2"/>
      <c r="B106" s="2"/>
      <c r="C106" s="2"/>
      <c r="D106" s="2"/>
      <c r="E106" s="112"/>
      <c r="F106" s="112"/>
      <c r="G106" s="112"/>
      <c r="H106" s="156"/>
      <c r="I106" s="112"/>
      <c r="J106" s="156"/>
      <c r="K106" s="2"/>
      <c r="L106" s="2"/>
      <c r="M106" s="2"/>
      <c r="N106" s="2"/>
      <c r="O106" s="2"/>
      <c r="P106" s="11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 x14ac:dyDescent="0.2">
      <c r="A107" s="2"/>
      <c r="B107" s="2"/>
      <c r="C107" s="2"/>
      <c r="D107" s="2"/>
      <c r="E107" s="112"/>
      <c r="F107" s="112"/>
      <c r="G107" s="112"/>
      <c r="H107" s="156"/>
      <c r="I107" s="112"/>
      <c r="J107" s="156"/>
      <c r="K107" s="2"/>
      <c r="L107" s="2"/>
      <c r="M107" s="2"/>
      <c r="N107" s="2"/>
      <c r="O107" s="2"/>
      <c r="P107" s="11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 x14ac:dyDescent="0.2">
      <c r="A108" s="2"/>
      <c r="B108" s="2"/>
      <c r="C108" s="2"/>
      <c r="D108" s="2"/>
      <c r="E108" s="112"/>
      <c r="F108" s="112"/>
      <c r="G108" s="112"/>
      <c r="H108" s="156"/>
      <c r="I108" s="112"/>
      <c r="J108" s="156"/>
      <c r="K108" s="2"/>
      <c r="L108" s="2"/>
      <c r="M108" s="2"/>
      <c r="N108" s="2"/>
      <c r="O108" s="2"/>
      <c r="P108" s="11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 x14ac:dyDescent="0.2">
      <c r="A109" s="2"/>
      <c r="B109" s="2"/>
      <c r="C109" s="2"/>
      <c r="D109" s="2"/>
      <c r="E109" s="112"/>
      <c r="F109" s="112"/>
      <c r="G109" s="112"/>
      <c r="H109" s="156"/>
      <c r="I109" s="112"/>
      <c r="J109" s="156"/>
      <c r="K109" s="2"/>
      <c r="L109" s="2"/>
      <c r="M109" s="2"/>
      <c r="N109" s="2"/>
      <c r="O109" s="2"/>
      <c r="P109" s="11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 x14ac:dyDescent="0.2">
      <c r="A110" s="2"/>
      <c r="B110" s="2"/>
      <c r="C110" s="2"/>
      <c r="D110" s="2"/>
      <c r="E110" s="112"/>
      <c r="F110" s="112"/>
      <c r="G110" s="112"/>
      <c r="H110" s="156"/>
      <c r="I110" s="112"/>
      <c r="J110" s="156"/>
      <c r="K110" s="2"/>
      <c r="L110" s="2"/>
      <c r="M110" s="2"/>
      <c r="N110" s="2"/>
      <c r="O110" s="2"/>
      <c r="P110" s="11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 x14ac:dyDescent="0.2">
      <c r="A111" s="2"/>
      <c r="B111" s="2"/>
      <c r="C111" s="2"/>
      <c r="D111" s="2"/>
      <c r="E111" s="112"/>
      <c r="F111" s="112"/>
      <c r="G111" s="112"/>
      <c r="H111" s="156"/>
      <c r="I111" s="112"/>
      <c r="J111" s="156"/>
      <c r="K111" s="2"/>
      <c r="L111" s="2"/>
      <c r="M111" s="2"/>
      <c r="N111" s="2"/>
      <c r="O111" s="2"/>
      <c r="P111" s="11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 x14ac:dyDescent="0.2">
      <c r="A112" s="2"/>
      <c r="B112" s="2"/>
      <c r="C112" s="2"/>
      <c r="D112" s="2"/>
      <c r="E112" s="112"/>
      <c r="F112" s="112"/>
      <c r="G112" s="112"/>
      <c r="H112" s="156"/>
      <c r="I112" s="112"/>
      <c r="J112" s="156"/>
      <c r="K112" s="2"/>
      <c r="L112" s="2"/>
      <c r="M112" s="2"/>
      <c r="N112" s="2"/>
      <c r="O112" s="2"/>
      <c r="P112" s="11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 x14ac:dyDescent="0.2">
      <c r="A113" s="2"/>
      <c r="B113" s="2"/>
      <c r="C113" s="2"/>
      <c r="D113" s="2"/>
      <c r="E113" s="112"/>
      <c r="F113" s="112"/>
      <c r="G113" s="112"/>
      <c r="H113" s="156"/>
      <c r="I113" s="112"/>
      <c r="J113" s="156"/>
      <c r="K113" s="2"/>
      <c r="L113" s="2"/>
      <c r="M113" s="2"/>
      <c r="N113" s="2"/>
      <c r="O113" s="2"/>
      <c r="P113" s="11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 x14ac:dyDescent="0.2">
      <c r="A114" s="2"/>
      <c r="B114" s="2"/>
      <c r="C114" s="2"/>
      <c r="D114" s="2"/>
      <c r="E114" s="112"/>
      <c r="F114" s="112"/>
      <c r="G114" s="112"/>
      <c r="H114" s="156"/>
      <c r="I114" s="112"/>
      <c r="J114" s="156"/>
      <c r="K114" s="2"/>
      <c r="L114" s="2"/>
      <c r="M114" s="2"/>
      <c r="N114" s="2"/>
      <c r="O114" s="2"/>
      <c r="P114" s="11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 x14ac:dyDescent="0.2">
      <c r="A115" s="2"/>
      <c r="B115" s="2"/>
      <c r="C115" s="2"/>
      <c r="D115" s="2"/>
      <c r="E115" s="112"/>
      <c r="F115" s="112"/>
      <c r="G115" s="112"/>
      <c r="H115" s="156"/>
      <c r="I115" s="112"/>
      <c r="J115" s="156"/>
      <c r="K115" s="2"/>
      <c r="L115" s="2"/>
      <c r="M115" s="2"/>
      <c r="N115" s="2"/>
      <c r="O115" s="2"/>
      <c r="P115" s="11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 x14ac:dyDescent="0.2">
      <c r="A116" s="2"/>
      <c r="B116" s="2"/>
      <c r="C116" s="2"/>
      <c r="D116" s="2"/>
      <c r="E116" s="112"/>
      <c r="F116" s="112"/>
      <c r="G116" s="112"/>
      <c r="H116" s="156"/>
      <c r="I116" s="112"/>
      <c r="J116" s="156"/>
      <c r="K116" s="2"/>
      <c r="L116" s="2"/>
      <c r="M116" s="2"/>
      <c r="N116" s="2"/>
      <c r="O116" s="2"/>
      <c r="P116" s="11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 x14ac:dyDescent="0.2">
      <c r="A117" s="2"/>
      <c r="B117" s="2"/>
      <c r="C117" s="2"/>
      <c r="D117" s="2"/>
      <c r="E117" s="112"/>
      <c r="F117" s="112"/>
      <c r="G117" s="112"/>
      <c r="H117" s="156"/>
      <c r="I117" s="112"/>
      <c r="J117" s="156"/>
      <c r="K117" s="2"/>
      <c r="L117" s="2"/>
      <c r="M117" s="2"/>
      <c r="N117" s="2"/>
      <c r="O117" s="2"/>
      <c r="P117" s="11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 x14ac:dyDescent="0.2">
      <c r="A118" s="2"/>
      <c r="B118" s="2"/>
      <c r="C118" s="2"/>
      <c r="D118" s="2"/>
      <c r="E118" s="112"/>
      <c r="F118" s="112"/>
      <c r="G118" s="112"/>
      <c r="H118" s="156"/>
      <c r="I118" s="112"/>
      <c r="J118" s="156"/>
      <c r="K118" s="2"/>
      <c r="L118" s="2"/>
      <c r="M118" s="2"/>
      <c r="N118" s="2"/>
      <c r="O118" s="2"/>
      <c r="P118" s="11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 x14ac:dyDescent="0.2">
      <c r="A119" s="2"/>
      <c r="B119" s="2"/>
      <c r="C119" s="2"/>
      <c r="D119" s="2"/>
      <c r="E119" s="112"/>
      <c r="F119" s="112"/>
      <c r="G119" s="112"/>
      <c r="H119" s="156"/>
      <c r="I119" s="112"/>
      <c r="J119" s="156"/>
      <c r="K119" s="2"/>
      <c r="L119" s="2"/>
      <c r="M119" s="2"/>
      <c r="N119" s="2"/>
      <c r="O119" s="2"/>
      <c r="P119" s="11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 x14ac:dyDescent="0.2">
      <c r="A120" s="2"/>
      <c r="B120" s="2"/>
      <c r="C120" s="2"/>
      <c r="D120" s="2"/>
      <c r="E120" s="112"/>
      <c r="F120" s="112"/>
      <c r="G120" s="112"/>
      <c r="H120" s="156"/>
      <c r="I120" s="112"/>
      <c r="J120" s="156"/>
      <c r="K120" s="2"/>
      <c r="L120" s="2"/>
      <c r="M120" s="2"/>
      <c r="N120" s="2"/>
      <c r="O120" s="2"/>
      <c r="P120" s="11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 x14ac:dyDescent="0.2">
      <c r="A121" s="2"/>
      <c r="B121" s="2"/>
      <c r="C121" s="2"/>
      <c r="D121" s="2"/>
      <c r="E121" s="112"/>
      <c r="F121" s="112"/>
      <c r="G121" s="112"/>
      <c r="H121" s="156"/>
      <c r="I121" s="112"/>
      <c r="J121" s="156"/>
      <c r="K121" s="2"/>
      <c r="L121" s="2"/>
      <c r="M121" s="2"/>
      <c r="N121" s="2"/>
      <c r="O121" s="2"/>
      <c r="P121" s="11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 x14ac:dyDescent="0.2">
      <c r="A122" s="2"/>
      <c r="B122" s="2"/>
      <c r="C122" s="2"/>
      <c r="D122" s="2"/>
      <c r="E122" s="112"/>
      <c r="F122" s="112"/>
      <c r="G122" s="112"/>
      <c r="H122" s="156"/>
      <c r="I122" s="112"/>
      <c r="J122" s="156"/>
      <c r="K122" s="2"/>
      <c r="L122" s="2"/>
      <c r="M122" s="2"/>
      <c r="N122" s="2"/>
      <c r="O122" s="2"/>
      <c r="P122" s="11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 x14ac:dyDescent="0.2">
      <c r="A123" s="2"/>
      <c r="B123" s="2"/>
      <c r="C123" s="2"/>
      <c r="D123" s="2"/>
      <c r="E123" s="112"/>
      <c r="F123" s="112"/>
      <c r="G123" s="112"/>
      <c r="H123" s="156"/>
      <c r="I123" s="112"/>
      <c r="J123" s="156"/>
      <c r="K123" s="2"/>
      <c r="L123" s="2"/>
      <c r="M123" s="2"/>
      <c r="N123" s="2"/>
      <c r="O123" s="2"/>
      <c r="P123" s="11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 x14ac:dyDescent="0.2">
      <c r="A124" s="2"/>
      <c r="B124" s="2"/>
      <c r="C124" s="2"/>
      <c r="D124" s="2"/>
      <c r="E124" s="112"/>
      <c r="F124" s="112"/>
      <c r="G124" s="112"/>
      <c r="H124" s="156"/>
      <c r="I124" s="112"/>
      <c r="J124" s="156"/>
      <c r="K124" s="2"/>
      <c r="L124" s="2"/>
      <c r="M124" s="2"/>
      <c r="N124" s="2"/>
      <c r="O124" s="2"/>
      <c r="P124" s="11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 x14ac:dyDescent="0.2">
      <c r="A125" s="2"/>
      <c r="B125" s="2"/>
      <c r="C125" s="2"/>
      <c r="D125" s="2"/>
      <c r="E125" s="112"/>
      <c r="F125" s="112"/>
      <c r="G125" s="112"/>
      <c r="H125" s="156"/>
      <c r="I125" s="112"/>
      <c r="J125" s="156"/>
      <c r="K125" s="2"/>
      <c r="L125" s="2"/>
      <c r="M125" s="2"/>
      <c r="N125" s="2"/>
      <c r="O125" s="2"/>
      <c r="P125" s="11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 x14ac:dyDescent="0.2">
      <c r="A126" s="2"/>
      <c r="B126" s="2"/>
      <c r="C126" s="2"/>
      <c r="D126" s="2"/>
      <c r="E126" s="112"/>
      <c r="F126" s="112"/>
      <c r="G126" s="112"/>
      <c r="H126" s="156"/>
      <c r="I126" s="112"/>
      <c r="J126" s="156"/>
      <c r="K126" s="2"/>
      <c r="L126" s="2"/>
      <c r="M126" s="2"/>
      <c r="N126" s="2"/>
      <c r="O126" s="2"/>
      <c r="P126" s="11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 x14ac:dyDescent="0.2">
      <c r="A127" s="2"/>
      <c r="B127" s="2"/>
      <c r="C127" s="2"/>
      <c r="D127" s="2"/>
      <c r="E127" s="112"/>
      <c r="F127" s="112"/>
      <c r="G127" s="112"/>
      <c r="H127" s="156"/>
      <c r="I127" s="112"/>
      <c r="J127" s="156"/>
      <c r="K127" s="2"/>
      <c r="L127" s="2"/>
      <c r="M127" s="2"/>
      <c r="N127" s="2"/>
      <c r="O127" s="2"/>
      <c r="P127" s="11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 x14ac:dyDescent="0.2">
      <c r="A128" s="2"/>
      <c r="B128" s="2"/>
      <c r="C128" s="2"/>
      <c r="D128" s="2"/>
      <c r="E128" s="112"/>
      <c r="F128" s="112"/>
      <c r="G128" s="112"/>
      <c r="H128" s="156"/>
      <c r="I128" s="112"/>
      <c r="J128" s="156"/>
      <c r="K128" s="2"/>
      <c r="L128" s="2"/>
      <c r="M128" s="2"/>
      <c r="N128" s="2"/>
      <c r="O128" s="2"/>
      <c r="P128" s="11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 x14ac:dyDescent="0.2">
      <c r="A129" s="2"/>
      <c r="B129" s="2"/>
      <c r="C129" s="2"/>
      <c r="D129" s="2"/>
      <c r="E129" s="112"/>
      <c r="F129" s="112"/>
      <c r="G129" s="112"/>
      <c r="H129" s="156"/>
      <c r="I129" s="112"/>
      <c r="J129" s="156"/>
      <c r="K129" s="2"/>
      <c r="L129" s="2"/>
      <c r="M129" s="2"/>
      <c r="N129" s="2"/>
      <c r="O129" s="2"/>
      <c r="P129" s="11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 x14ac:dyDescent="0.2">
      <c r="A130" s="2"/>
      <c r="B130" s="2"/>
      <c r="C130" s="2"/>
      <c r="D130" s="2"/>
      <c r="E130" s="112"/>
      <c r="F130" s="112"/>
      <c r="G130" s="112"/>
      <c r="H130" s="156"/>
      <c r="I130" s="112"/>
      <c r="J130" s="156"/>
      <c r="K130" s="2"/>
      <c r="L130" s="2"/>
      <c r="M130" s="2"/>
      <c r="N130" s="2"/>
      <c r="O130" s="2"/>
      <c r="P130" s="11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 x14ac:dyDescent="0.2">
      <c r="A131" s="2"/>
      <c r="B131" s="2"/>
      <c r="C131" s="2"/>
      <c r="D131" s="2"/>
      <c r="E131" s="112"/>
      <c r="F131" s="112"/>
      <c r="G131" s="112"/>
      <c r="H131" s="156"/>
      <c r="I131" s="112"/>
      <c r="J131" s="156"/>
      <c r="K131" s="2"/>
      <c r="L131" s="2"/>
      <c r="M131" s="2"/>
      <c r="N131" s="2"/>
      <c r="O131" s="2"/>
      <c r="P131" s="11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 x14ac:dyDescent="0.2">
      <c r="A132" s="2"/>
      <c r="B132" s="2"/>
      <c r="C132" s="2"/>
      <c r="D132" s="2"/>
      <c r="E132" s="112"/>
      <c r="F132" s="112"/>
      <c r="G132" s="112"/>
      <c r="H132" s="156"/>
      <c r="I132" s="112"/>
      <c r="J132" s="156"/>
      <c r="K132" s="2"/>
      <c r="L132" s="2"/>
      <c r="M132" s="2"/>
      <c r="N132" s="2"/>
      <c r="O132" s="2"/>
      <c r="P132" s="11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 x14ac:dyDescent="0.2">
      <c r="A133" s="2"/>
      <c r="B133" s="2"/>
      <c r="C133" s="2"/>
      <c r="D133" s="2"/>
      <c r="E133" s="112"/>
      <c r="F133" s="112"/>
      <c r="G133" s="112"/>
      <c r="H133" s="156"/>
      <c r="I133" s="112"/>
      <c r="J133" s="156"/>
      <c r="K133" s="2"/>
      <c r="L133" s="2"/>
      <c r="M133" s="2"/>
      <c r="N133" s="2"/>
      <c r="O133" s="2"/>
      <c r="P133" s="11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 x14ac:dyDescent="0.2">
      <c r="A134" s="2"/>
      <c r="B134" s="2"/>
      <c r="C134" s="2"/>
      <c r="D134" s="2"/>
      <c r="E134" s="112"/>
      <c r="F134" s="112"/>
      <c r="G134" s="112"/>
      <c r="H134" s="156"/>
      <c r="I134" s="112"/>
      <c r="J134" s="156"/>
      <c r="K134" s="2"/>
      <c r="L134" s="2"/>
      <c r="M134" s="2"/>
      <c r="N134" s="2"/>
      <c r="O134" s="2"/>
      <c r="P134" s="11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 x14ac:dyDescent="0.2">
      <c r="A135" s="2"/>
      <c r="B135" s="2"/>
      <c r="C135" s="2"/>
      <c r="D135" s="2"/>
      <c r="E135" s="112"/>
      <c r="F135" s="112"/>
      <c r="G135" s="112"/>
      <c r="H135" s="156"/>
      <c r="I135" s="112"/>
      <c r="J135" s="156"/>
      <c r="K135" s="2"/>
      <c r="L135" s="2"/>
      <c r="M135" s="2"/>
      <c r="N135" s="2"/>
      <c r="O135" s="2"/>
      <c r="P135" s="11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 x14ac:dyDescent="0.2">
      <c r="A136" s="2"/>
      <c r="B136" s="2"/>
      <c r="C136" s="2"/>
      <c r="D136" s="2"/>
      <c r="E136" s="112"/>
      <c r="F136" s="112"/>
      <c r="G136" s="112"/>
      <c r="H136" s="156"/>
      <c r="I136" s="112"/>
      <c r="J136" s="156"/>
      <c r="K136" s="2"/>
      <c r="L136" s="2"/>
      <c r="M136" s="2"/>
      <c r="N136" s="2"/>
      <c r="O136" s="2"/>
      <c r="P136" s="11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 x14ac:dyDescent="0.2">
      <c r="A137" s="2"/>
      <c r="B137" s="2"/>
      <c r="C137" s="2"/>
      <c r="D137" s="2"/>
      <c r="E137" s="112"/>
      <c r="F137" s="112"/>
      <c r="G137" s="112"/>
      <c r="H137" s="156"/>
      <c r="I137" s="112"/>
      <c r="J137" s="156"/>
      <c r="K137" s="2"/>
      <c r="L137" s="2"/>
      <c r="M137" s="2"/>
      <c r="N137" s="2"/>
      <c r="O137" s="2"/>
      <c r="P137" s="11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 x14ac:dyDescent="0.2">
      <c r="A138" s="2"/>
      <c r="B138" s="2"/>
      <c r="C138" s="2"/>
      <c r="D138" s="2"/>
      <c r="E138" s="112"/>
      <c r="F138" s="112"/>
      <c r="G138" s="112"/>
      <c r="H138" s="156"/>
      <c r="I138" s="112"/>
      <c r="J138" s="156"/>
      <c r="K138" s="2"/>
      <c r="L138" s="2"/>
      <c r="M138" s="2"/>
      <c r="N138" s="2"/>
      <c r="O138" s="2"/>
      <c r="P138" s="11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 x14ac:dyDescent="0.2">
      <c r="A139" s="2"/>
      <c r="B139" s="2"/>
      <c r="C139" s="2"/>
      <c r="D139" s="2"/>
      <c r="E139" s="112"/>
      <c r="F139" s="112"/>
      <c r="G139" s="112"/>
      <c r="H139" s="156"/>
      <c r="I139" s="112"/>
      <c r="J139" s="156"/>
      <c r="K139" s="2"/>
      <c r="L139" s="2"/>
      <c r="M139" s="2"/>
      <c r="N139" s="2"/>
      <c r="O139" s="2"/>
      <c r="P139" s="11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 x14ac:dyDescent="0.2">
      <c r="A140" s="2"/>
      <c r="B140" s="2"/>
      <c r="C140" s="2"/>
      <c r="D140" s="2"/>
      <c r="E140" s="112"/>
      <c r="F140" s="112"/>
      <c r="G140" s="112"/>
      <c r="H140" s="156"/>
      <c r="I140" s="112"/>
      <c r="J140" s="156"/>
      <c r="K140" s="2"/>
      <c r="L140" s="2"/>
      <c r="M140" s="2"/>
      <c r="N140" s="2"/>
      <c r="O140" s="2"/>
      <c r="P140" s="11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 x14ac:dyDescent="0.2">
      <c r="A141" s="2"/>
      <c r="B141" s="2"/>
      <c r="C141" s="2"/>
      <c r="D141" s="2"/>
      <c r="E141" s="112"/>
      <c r="F141" s="112"/>
      <c r="G141" s="112"/>
      <c r="H141" s="156"/>
      <c r="I141" s="112"/>
      <c r="J141" s="156"/>
      <c r="K141" s="2"/>
      <c r="L141" s="2"/>
      <c r="M141" s="2"/>
      <c r="N141" s="2"/>
      <c r="O141" s="2"/>
      <c r="P141" s="11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 x14ac:dyDescent="0.2">
      <c r="A142" s="2"/>
      <c r="B142" s="2"/>
      <c r="C142" s="2"/>
      <c r="D142" s="2"/>
      <c r="E142" s="112"/>
      <c r="F142" s="112"/>
      <c r="G142" s="112"/>
      <c r="H142" s="156"/>
      <c r="I142" s="112"/>
      <c r="J142" s="156"/>
      <c r="K142" s="2"/>
      <c r="L142" s="2"/>
      <c r="M142" s="2"/>
      <c r="N142" s="2"/>
      <c r="O142" s="2"/>
      <c r="P142" s="11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 x14ac:dyDescent="0.2">
      <c r="A143" s="2"/>
      <c r="B143" s="2"/>
      <c r="C143" s="2"/>
      <c r="D143" s="2"/>
      <c r="E143" s="112"/>
      <c r="F143" s="112"/>
      <c r="G143" s="112"/>
      <c r="H143" s="156"/>
      <c r="I143" s="112"/>
      <c r="J143" s="156"/>
      <c r="K143" s="2"/>
      <c r="L143" s="2"/>
      <c r="M143" s="2"/>
      <c r="N143" s="2"/>
      <c r="O143" s="2"/>
      <c r="P143" s="11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 x14ac:dyDescent="0.2">
      <c r="A144" s="2"/>
      <c r="B144" s="2"/>
      <c r="C144" s="2"/>
      <c r="D144" s="2"/>
      <c r="E144" s="112"/>
      <c r="F144" s="112"/>
      <c r="G144" s="112"/>
      <c r="H144" s="156"/>
      <c r="I144" s="112"/>
      <c r="J144" s="156"/>
      <c r="K144" s="2"/>
      <c r="L144" s="2"/>
      <c r="M144" s="2"/>
      <c r="N144" s="2"/>
      <c r="O144" s="2"/>
      <c r="P144" s="11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 x14ac:dyDescent="0.2">
      <c r="A145" s="2"/>
      <c r="B145" s="2"/>
      <c r="C145" s="2"/>
      <c r="D145" s="2"/>
      <c r="E145" s="112"/>
      <c r="F145" s="112"/>
      <c r="G145" s="112"/>
      <c r="H145" s="156"/>
      <c r="I145" s="112"/>
      <c r="J145" s="156"/>
      <c r="K145" s="2"/>
      <c r="L145" s="2"/>
      <c r="M145" s="2"/>
      <c r="N145" s="2"/>
      <c r="O145" s="2"/>
      <c r="P145" s="11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 x14ac:dyDescent="0.2">
      <c r="A146" s="2"/>
      <c r="B146" s="2"/>
      <c r="C146" s="2"/>
      <c r="D146" s="2"/>
      <c r="E146" s="112"/>
      <c r="F146" s="112"/>
      <c r="G146" s="112"/>
      <c r="H146" s="156"/>
      <c r="I146" s="112"/>
      <c r="J146" s="156"/>
      <c r="K146" s="2"/>
      <c r="L146" s="2"/>
      <c r="M146" s="2"/>
      <c r="N146" s="2"/>
      <c r="O146" s="2"/>
      <c r="P146" s="11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 x14ac:dyDescent="0.2">
      <c r="A147" s="2"/>
      <c r="B147" s="2"/>
      <c r="C147" s="2"/>
      <c r="D147" s="2"/>
      <c r="E147" s="112"/>
      <c r="F147" s="112"/>
      <c r="G147" s="112"/>
      <c r="H147" s="156"/>
      <c r="I147" s="112"/>
      <c r="J147" s="156"/>
      <c r="K147" s="2"/>
      <c r="L147" s="2"/>
      <c r="M147" s="2"/>
      <c r="N147" s="2"/>
      <c r="O147" s="2"/>
      <c r="P147" s="11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 x14ac:dyDescent="0.2">
      <c r="A148" s="2"/>
      <c r="B148" s="2"/>
      <c r="C148" s="2"/>
      <c r="D148" s="2"/>
      <c r="E148" s="112"/>
      <c r="F148" s="112"/>
      <c r="G148" s="112"/>
      <c r="H148" s="156"/>
      <c r="I148" s="112"/>
      <c r="J148" s="156"/>
      <c r="K148" s="2"/>
      <c r="L148" s="2"/>
      <c r="M148" s="2"/>
      <c r="N148" s="2"/>
      <c r="O148" s="2"/>
      <c r="P148" s="11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 x14ac:dyDescent="0.2">
      <c r="A149" s="2"/>
      <c r="B149" s="2"/>
      <c r="C149" s="2"/>
      <c r="D149" s="2"/>
      <c r="E149" s="112"/>
      <c r="F149" s="112"/>
      <c r="G149" s="112"/>
      <c r="H149" s="156"/>
      <c r="I149" s="112"/>
      <c r="J149" s="156"/>
      <c r="K149" s="2"/>
      <c r="L149" s="2"/>
      <c r="M149" s="2"/>
      <c r="N149" s="2"/>
      <c r="O149" s="2"/>
      <c r="P149" s="11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 x14ac:dyDescent="0.2">
      <c r="A150" s="2"/>
      <c r="B150" s="2"/>
      <c r="C150" s="2"/>
      <c r="D150" s="2"/>
      <c r="E150" s="112"/>
      <c r="F150" s="112"/>
      <c r="G150" s="112"/>
      <c r="H150" s="156"/>
      <c r="I150" s="112"/>
      <c r="J150" s="156"/>
      <c r="K150" s="2"/>
      <c r="L150" s="2"/>
      <c r="M150" s="2"/>
      <c r="N150" s="2"/>
      <c r="O150" s="2"/>
      <c r="P150" s="11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 x14ac:dyDescent="0.2">
      <c r="A151" s="2"/>
      <c r="B151" s="2"/>
      <c r="C151" s="2"/>
      <c r="D151" s="2"/>
      <c r="E151" s="112"/>
      <c r="F151" s="112"/>
      <c r="G151" s="112"/>
      <c r="H151" s="156"/>
      <c r="I151" s="112"/>
      <c r="J151" s="156"/>
      <c r="K151" s="2"/>
      <c r="L151" s="2"/>
      <c r="M151" s="2"/>
      <c r="N151" s="2"/>
      <c r="O151" s="2"/>
      <c r="P151" s="11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 x14ac:dyDescent="0.2">
      <c r="A152" s="2"/>
      <c r="B152" s="2"/>
      <c r="C152" s="2"/>
      <c r="D152" s="2"/>
      <c r="E152" s="112"/>
      <c r="F152" s="112"/>
      <c r="G152" s="112"/>
      <c r="H152" s="156"/>
      <c r="I152" s="112"/>
      <c r="J152" s="156"/>
      <c r="K152" s="2"/>
      <c r="L152" s="2"/>
      <c r="M152" s="2"/>
      <c r="N152" s="2"/>
      <c r="O152" s="2"/>
      <c r="P152" s="11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 x14ac:dyDescent="0.2">
      <c r="A153" s="2"/>
      <c r="B153" s="2"/>
      <c r="C153" s="2"/>
      <c r="D153" s="2"/>
      <c r="E153" s="112"/>
      <c r="F153" s="112"/>
      <c r="G153" s="112"/>
      <c r="H153" s="156"/>
      <c r="I153" s="112"/>
      <c r="J153" s="156"/>
      <c r="K153" s="2"/>
      <c r="L153" s="2"/>
      <c r="M153" s="2"/>
      <c r="N153" s="2"/>
      <c r="O153" s="2"/>
      <c r="P153" s="11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 x14ac:dyDescent="0.2">
      <c r="A154" s="2"/>
      <c r="B154" s="2"/>
      <c r="C154" s="2"/>
      <c r="D154" s="2"/>
      <c r="E154" s="112"/>
      <c r="F154" s="112"/>
      <c r="G154" s="112"/>
      <c r="H154" s="156"/>
      <c r="I154" s="112"/>
      <c r="J154" s="156"/>
      <c r="K154" s="2"/>
      <c r="L154" s="2"/>
      <c r="M154" s="2"/>
      <c r="N154" s="2"/>
      <c r="O154" s="2"/>
      <c r="P154" s="11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 x14ac:dyDescent="0.2">
      <c r="A155" s="2"/>
      <c r="B155" s="2"/>
      <c r="C155" s="2"/>
      <c r="D155" s="2"/>
      <c r="E155" s="112"/>
      <c r="F155" s="112"/>
      <c r="G155" s="112"/>
      <c r="H155" s="156"/>
      <c r="I155" s="112"/>
      <c r="J155" s="156"/>
      <c r="K155" s="2"/>
      <c r="L155" s="2"/>
      <c r="M155" s="2"/>
      <c r="N155" s="2"/>
      <c r="O155" s="2"/>
      <c r="P155" s="11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 x14ac:dyDescent="0.2">
      <c r="A156" s="2"/>
      <c r="B156" s="2"/>
      <c r="C156" s="2"/>
      <c r="D156" s="2"/>
      <c r="E156" s="112"/>
      <c r="F156" s="112"/>
      <c r="G156" s="112"/>
      <c r="H156" s="156"/>
      <c r="I156" s="112"/>
      <c r="J156" s="156"/>
      <c r="K156" s="2"/>
      <c r="L156" s="2"/>
      <c r="M156" s="2"/>
      <c r="N156" s="2"/>
      <c r="O156" s="2"/>
      <c r="P156" s="11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 x14ac:dyDescent="0.2">
      <c r="A157" s="2"/>
      <c r="B157" s="2"/>
      <c r="C157" s="2"/>
      <c r="D157" s="2"/>
      <c r="E157" s="112"/>
      <c r="F157" s="112"/>
      <c r="G157" s="112"/>
      <c r="H157" s="156"/>
      <c r="I157" s="112"/>
      <c r="J157" s="156"/>
      <c r="K157" s="2"/>
      <c r="L157" s="2"/>
      <c r="M157" s="2"/>
      <c r="N157" s="2"/>
      <c r="O157" s="2"/>
      <c r="P157" s="11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 x14ac:dyDescent="0.2">
      <c r="A158" s="2"/>
      <c r="B158" s="2"/>
      <c r="C158" s="2"/>
      <c r="D158" s="2"/>
      <c r="E158" s="112"/>
      <c r="F158" s="112"/>
      <c r="G158" s="112"/>
      <c r="H158" s="156"/>
      <c r="I158" s="112"/>
      <c r="J158" s="156"/>
      <c r="K158" s="2"/>
      <c r="L158" s="2"/>
      <c r="M158" s="2"/>
      <c r="N158" s="2"/>
      <c r="O158" s="2"/>
      <c r="P158" s="11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 x14ac:dyDescent="0.2">
      <c r="A159" s="2"/>
      <c r="B159" s="2"/>
      <c r="C159" s="2"/>
      <c r="D159" s="2"/>
      <c r="E159" s="112"/>
      <c r="F159" s="112"/>
      <c r="G159" s="112"/>
      <c r="H159" s="156"/>
      <c r="I159" s="112"/>
      <c r="J159" s="156"/>
      <c r="K159" s="2"/>
      <c r="L159" s="2"/>
      <c r="M159" s="2"/>
      <c r="N159" s="2"/>
      <c r="O159" s="2"/>
      <c r="P159" s="11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 x14ac:dyDescent="0.2">
      <c r="A160" s="2"/>
      <c r="B160" s="2"/>
      <c r="C160" s="2"/>
      <c r="D160" s="2"/>
      <c r="E160" s="112"/>
      <c r="F160" s="112"/>
      <c r="G160" s="112"/>
      <c r="H160" s="156"/>
      <c r="I160" s="112"/>
      <c r="J160" s="156"/>
      <c r="K160" s="2"/>
      <c r="L160" s="2"/>
      <c r="M160" s="2"/>
      <c r="N160" s="2"/>
      <c r="O160" s="2"/>
      <c r="P160" s="11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 x14ac:dyDescent="0.2">
      <c r="A161" s="2"/>
      <c r="B161" s="2"/>
      <c r="C161" s="2"/>
      <c r="D161" s="2"/>
      <c r="E161" s="112"/>
      <c r="F161" s="112"/>
      <c r="G161" s="112"/>
      <c r="H161" s="156"/>
      <c r="I161" s="112"/>
      <c r="J161" s="156"/>
      <c r="K161" s="2"/>
      <c r="L161" s="2"/>
      <c r="M161" s="2"/>
      <c r="N161" s="2"/>
      <c r="O161" s="2"/>
      <c r="P161" s="11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 x14ac:dyDescent="0.2">
      <c r="A162" s="2"/>
      <c r="B162" s="2"/>
      <c r="C162" s="2"/>
      <c r="D162" s="2"/>
      <c r="E162" s="112"/>
      <c r="F162" s="112"/>
      <c r="G162" s="112"/>
      <c r="H162" s="156"/>
      <c r="I162" s="112"/>
      <c r="J162" s="156"/>
      <c r="K162" s="2"/>
      <c r="L162" s="2"/>
      <c r="M162" s="2"/>
      <c r="N162" s="2"/>
      <c r="O162" s="2"/>
      <c r="P162" s="11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 x14ac:dyDescent="0.2">
      <c r="A163" s="2"/>
      <c r="B163" s="2"/>
      <c r="C163" s="2"/>
      <c r="D163" s="2"/>
      <c r="E163" s="112"/>
      <c r="F163" s="112"/>
      <c r="G163" s="112"/>
      <c r="H163" s="156"/>
      <c r="I163" s="112"/>
      <c r="J163" s="156"/>
      <c r="K163" s="2"/>
      <c r="L163" s="2"/>
      <c r="M163" s="2"/>
      <c r="N163" s="2"/>
      <c r="O163" s="2"/>
      <c r="P163" s="11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 x14ac:dyDescent="0.2">
      <c r="A164" s="2"/>
      <c r="B164" s="2"/>
      <c r="C164" s="2"/>
      <c r="D164" s="2"/>
      <c r="E164" s="112"/>
      <c r="F164" s="112"/>
      <c r="G164" s="112"/>
      <c r="H164" s="156"/>
      <c r="I164" s="112"/>
      <c r="J164" s="156"/>
      <c r="K164" s="2"/>
      <c r="L164" s="2"/>
      <c r="M164" s="2"/>
      <c r="N164" s="2"/>
      <c r="O164" s="2"/>
      <c r="P164" s="11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 x14ac:dyDescent="0.2">
      <c r="A165" s="2"/>
      <c r="B165" s="2"/>
      <c r="C165" s="2"/>
      <c r="D165" s="2"/>
      <c r="E165" s="112"/>
      <c r="F165" s="112"/>
      <c r="G165" s="112"/>
      <c r="H165" s="156"/>
      <c r="I165" s="112"/>
      <c r="J165" s="156"/>
      <c r="K165" s="2"/>
      <c r="L165" s="2"/>
      <c r="M165" s="2"/>
      <c r="N165" s="2"/>
      <c r="O165" s="2"/>
      <c r="P165" s="11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 x14ac:dyDescent="0.2">
      <c r="A166" s="2"/>
      <c r="B166" s="2"/>
      <c r="C166" s="2"/>
      <c r="D166" s="2"/>
      <c r="E166" s="112"/>
      <c r="F166" s="112"/>
      <c r="G166" s="112"/>
      <c r="H166" s="156"/>
      <c r="I166" s="112"/>
      <c r="J166" s="156"/>
      <c r="K166" s="2"/>
      <c r="L166" s="2"/>
      <c r="M166" s="2"/>
      <c r="N166" s="2"/>
      <c r="O166" s="2"/>
      <c r="P166" s="11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 x14ac:dyDescent="0.2">
      <c r="A167" s="2"/>
      <c r="B167" s="2"/>
      <c r="C167" s="2"/>
      <c r="D167" s="2"/>
      <c r="E167" s="112"/>
      <c r="F167" s="112"/>
      <c r="G167" s="112"/>
      <c r="H167" s="156"/>
      <c r="I167" s="112"/>
      <c r="J167" s="156"/>
      <c r="K167" s="2"/>
      <c r="L167" s="2"/>
      <c r="M167" s="2"/>
      <c r="N167" s="2"/>
      <c r="O167" s="2"/>
      <c r="P167" s="11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 x14ac:dyDescent="0.2">
      <c r="A168" s="2"/>
      <c r="B168" s="2"/>
      <c r="C168" s="2"/>
      <c r="D168" s="2"/>
      <c r="E168" s="112"/>
      <c r="F168" s="112"/>
      <c r="G168" s="112"/>
      <c r="H168" s="156"/>
      <c r="I168" s="112"/>
      <c r="J168" s="156"/>
      <c r="K168" s="2"/>
      <c r="L168" s="2"/>
      <c r="M168" s="2"/>
      <c r="N168" s="2"/>
      <c r="O168" s="2"/>
      <c r="P168" s="11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 x14ac:dyDescent="0.2">
      <c r="A169" s="2"/>
      <c r="B169" s="2"/>
      <c r="C169" s="2"/>
      <c r="D169" s="2"/>
      <c r="E169" s="112"/>
      <c r="F169" s="112"/>
      <c r="G169" s="112"/>
      <c r="H169" s="156"/>
      <c r="I169" s="112"/>
      <c r="J169" s="156"/>
      <c r="K169" s="2"/>
      <c r="L169" s="2"/>
      <c r="M169" s="2"/>
      <c r="N169" s="2"/>
      <c r="O169" s="2"/>
      <c r="P169" s="11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 x14ac:dyDescent="0.2">
      <c r="A170" s="2"/>
      <c r="B170" s="2"/>
      <c r="C170" s="2"/>
      <c r="D170" s="2"/>
      <c r="E170" s="112"/>
      <c r="F170" s="112"/>
      <c r="G170" s="112"/>
      <c r="H170" s="156"/>
      <c r="I170" s="112"/>
      <c r="J170" s="156"/>
      <c r="K170" s="2"/>
      <c r="L170" s="2"/>
      <c r="M170" s="2"/>
      <c r="N170" s="2"/>
      <c r="O170" s="2"/>
      <c r="P170" s="11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 x14ac:dyDescent="0.2">
      <c r="A171" s="2"/>
      <c r="B171" s="2"/>
      <c r="C171" s="2"/>
      <c r="D171" s="2"/>
      <c r="E171" s="112"/>
      <c r="F171" s="112"/>
      <c r="G171" s="112"/>
      <c r="H171" s="156"/>
      <c r="I171" s="112"/>
      <c r="J171" s="156"/>
      <c r="K171" s="2"/>
      <c r="L171" s="2"/>
      <c r="M171" s="2"/>
      <c r="N171" s="2"/>
      <c r="O171" s="2"/>
      <c r="P171" s="11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 x14ac:dyDescent="0.2">
      <c r="A172" s="2"/>
      <c r="B172" s="2"/>
      <c r="C172" s="2"/>
      <c r="D172" s="2"/>
      <c r="E172" s="112"/>
      <c r="F172" s="112"/>
      <c r="G172" s="112"/>
      <c r="H172" s="156"/>
      <c r="I172" s="112"/>
      <c r="J172" s="156"/>
      <c r="K172" s="2"/>
      <c r="L172" s="2"/>
      <c r="M172" s="2"/>
      <c r="N172" s="2"/>
      <c r="O172" s="2"/>
      <c r="P172" s="11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 x14ac:dyDescent="0.2">
      <c r="A173" s="2"/>
      <c r="B173" s="2"/>
      <c r="C173" s="2"/>
      <c r="D173" s="2"/>
      <c r="E173" s="112"/>
      <c r="F173" s="112"/>
      <c r="G173" s="112"/>
      <c r="H173" s="156"/>
      <c r="I173" s="112"/>
      <c r="J173" s="156"/>
      <c r="K173" s="2"/>
      <c r="L173" s="2"/>
      <c r="M173" s="2"/>
      <c r="N173" s="2"/>
      <c r="O173" s="2"/>
      <c r="P173" s="11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 x14ac:dyDescent="0.2">
      <c r="A174" s="2"/>
      <c r="B174" s="2"/>
      <c r="C174" s="2"/>
      <c r="D174" s="2"/>
      <c r="E174" s="112"/>
      <c r="F174" s="112"/>
      <c r="G174" s="112"/>
      <c r="H174" s="156"/>
      <c r="I174" s="112"/>
      <c r="J174" s="156"/>
      <c r="K174" s="2"/>
      <c r="L174" s="2"/>
      <c r="M174" s="2"/>
      <c r="N174" s="2"/>
      <c r="O174" s="2"/>
      <c r="P174" s="11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 x14ac:dyDescent="0.2">
      <c r="A175" s="2"/>
      <c r="B175" s="2"/>
      <c r="C175" s="2"/>
      <c r="D175" s="2"/>
      <c r="E175" s="112"/>
      <c r="F175" s="112"/>
      <c r="G175" s="112"/>
      <c r="H175" s="156"/>
      <c r="I175" s="112"/>
      <c r="J175" s="156"/>
      <c r="K175" s="2"/>
      <c r="L175" s="2"/>
      <c r="M175" s="2"/>
      <c r="N175" s="2"/>
      <c r="O175" s="2"/>
      <c r="P175" s="11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 x14ac:dyDescent="0.2">
      <c r="A176" s="2"/>
      <c r="B176" s="2"/>
      <c r="C176" s="2"/>
      <c r="D176" s="2"/>
      <c r="E176" s="112"/>
      <c r="F176" s="112"/>
      <c r="G176" s="112"/>
      <c r="H176" s="156"/>
      <c r="I176" s="112"/>
      <c r="J176" s="156"/>
      <c r="K176" s="2"/>
      <c r="L176" s="2"/>
      <c r="M176" s="2"/>
      <c r="N176" s="2"/>
      <c r="O176" s="2"/>
      <c r="P176" s="11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 x14ac:dyDescent="0.2">
      <c r="A177" s="2"/>
      <c r="B177" s="2"/>
      <c r="C177" s="2"/>
      <c r="D177" s="2"/>
      <c r="E177" s="112"/>
      <c r="F177" s="112"/>
      <c r="G177" s="112"/>
      <c r="H177" s="156"/>
      <c r="I177" s="112"/>
      <c r="J177" s="156"/>
      <c r="K177" s="2"/>
      <c r="L177" s="2"/>
      <c r="M177" s="2"/>
      <c r="N177" s="2"/>
      <c r="O177" s="2"/>
      <c r="P177" s="11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 x14ac:dyDescent="0.2">
      <c r="A178" s="2"/>
      <c r="B178" s="2"/>
      <c r="C178" s="2"/>
      <c r="D178" s="2"/>
      <c r="E178" s="112"/>
      <c r="F178" s="112"/>
      <c r="G178" s="112"/>
      <c r="H178" s="156"/>
      <c r="I178" s="112"/>
      <c r="J178" s="156"/>
      <c r="K178" s="2"/>
      <c r="L178" s="2"/>
      <c r="M178" s="2"/>
      <c r="N178" s="2"/>
      <c r="O178" s="2"/>
      <c r="P178" s="11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 x14ac:dyDescent="0.2">
      <c r="A179" s="2"/>
      <c r="B179" s="2"/>
      <c r="C179" s="2"/>
      <c r="D179" s="2"/>
      <c r="E179" s="112"/>
      <c r="F179" s="112"/>
      <c r="G179" s="112"/>
      <c r="H179" s="156"/>
      <c r="I179" s="112"/>
      <c r="J179" s="156"/>
      <c r="K179" s="2"/>
      <c r="L179" s="2"/>
      <c r="M179" s="2"/>
      <c r="N179" s="2"/>
      <c r="O179" s="2"/>
      <c r="P179" s="11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 x14ac:dyDescent="0.2">
      <c r="A180" s="2"/>
      <c r="B180" s="2"/>
      <c r="C180" s="2"/>
      <c r="D180" s="2"/>
      <c r="E180" s="112"/>
      <c r="F180" s="112"/>
      <c r="G180" s="112"/>
      <c r="H180" s="156"/>
      <c r="I180" s="112"/>
      <c r="J180" s="156"/>
      <c r="K180" s="2"/>
      <c r="L180" s="2"/>
      <c r="M180" s="2"/>
      <c r="N180" s="2"/>
      <c r="O180" s="2"/>
      <c r="P180" s="11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 x14ac:dyDescent="0.2">
      <c r="A181" s="2"/>
      <c r="B181" s="2"/>
      <c r="C181" s="2"/>
      <c r="D181" s="2"/>
      <c r="E181" s="112"/>
      <c r="F181" s="112"/>
      <c r="G181" s="112"/>
      <c r="H181" s="156"/>
      <c r="I181" s="112"/>
      <c r="J181" s="156"/>
      <c r="K181" s="2"/>
      <c r="L181" s="2"/>
      <c r="M181" s="2"/>
      <c r="N181" s="2"/>
      <c r="O181" s="2"/>
      <c r="P181" s="11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 x14ac:dyDescent="0.2">
      <c r="A182" s="2"/>
      <c r="B182" s="2"/>
      <c r="C182" s="2"/>
      <c r="D182" s="2"/>
      <c r="E182" s="112"/>
      <c r="F182" s="112"/>
      <c r="G182" s="112"/>
      <c r="H182" s="156"/>
      <c r="I182" s="112"/>
      <c r="J182" s="156"/>
      <c r="K182" s="2"/>
      <c r="L182" s="2"/>
      <c r="M182" s="2"/>
      <c r="N182" s="2"/>
      <c r="O182" s="2"/>
      <c r="P182" s="11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 x14ac:dyDescent="0.2">
      <c r="A183" s="2"/>
      <c r="B183" s="2"/>
      <c r="C183" s="2"/>
      <c r="D183" s="2"/>
      <c r="E183" s="112"/>
      <c r="F183" s="112"/>
      <c r="G183" s="112"/>
      <c r="H183" s="156"/>
      <c r="I183" s="112"/>
      <c r="J183" s="156"/>
      <c r="K183" s="2"/>
      <c r="L183" s="2"/>
      <c r="M183" s="2"/>
      <c r="N183" s="2"/>
      <c r="O183" s="2"/>
      <c r="P183" s="11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 x14ac:dyDescent="0.2">
      <c r="A184" s="2"/>
      <c r="B184" s="2"/>
      <c r="C184" s="2"/>
      <c r="D184" s="2"/>
      <c r="E184" s="112"/>
      <c r="F184" s="112"/>
      <c r="G184" s="112"/>
      <c r="H184" s="156"/>
      <c r="I184" s="112"/>
      <c r="J184" s="156"/>
      <c r="K184" s="2"/>
      <c r="L184" s="2"/>
      <c r="M184" s="2"/>
      <c r="N184" s="2"/>
      <c r="O184" s="2"/>
      <c r="P184" s="11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 x14ac:dyDescent="0.2">
      <c r="A185" s="2"/>
      <c r="B185" s="2"/>
      <c r="C185" s="2"/>
      <c r="D185" s="2"/>
      <c r="E185" s="112"/>
      <c r="F185" s="112"/>
      <c r="G185" s="112"/>
      <c r="H185" s="156"/>
      <c r="I185" s="112"/>
      <c r="J185" s="156"/>
      <c r="K185" s="2"/>
      <c r="L185" s="2"/>
      <c r="M185" s="2"/>
      <c r="N185" s="2"/>
      <c r="O185" s="2"/>
      <c r="P185" s="11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 x14ac:dyDescent="0.2">
      <c r="A186" s="2"/>
      <c r="B186" s="2"/>
      <c r="C186" s="2"/>
      <c r="D186" s="2"/>
      <c r="E186" s="112"/>
      <c r="F186" s="112"/>
      <c r="G186" s="112"/>
      <c r="H186" s="156"/>
      <c r="I186" s="112"/>
      <c r="J186" s="156"/>
      <c r="K186" s="2"/>
      <c r="L186" s="2"/>
      <c r="M186" s="2"/>
      <c r="N186" s="2"/>
      <c r="O186" s="2"/>
      <c r="P186" s="11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 x14ac:dyDescent="0.2">
      <c r="A187" s="2"/>
      <c r="B187" s="2"/>
      <c r="C187" s="2"/>
      <c r="D187" s="2"/>
      <c r="E187" s="112"/>
      <c r="F187" s="112"/>
      <c r="G187" s="112"/>
      <c r="H187" s="156"/>
      <c r="I187" s="112"/>
      <c r="J187" s="156"/>
      <c r="K187" s="2"/>
      <c r="L187" s="2"/>
      <c r="M187" s="2"/>
      <c r="N187" s="2"/>
      <c r="O187" s="2"/>
      <c r="P187" s="11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 x14ac:dyDescent="0.2">
      <c r="A188" s="2"/>
      <c r="B188" s="2"/>
      <c r="C188" s="2"/>
      <c r="D188" s="2"/>
      <c r="E188" s="112"/>
      <c r="F188" s="112"/>
      <c r="G188" s="112"/>
      <c r="H188" s="156"/>
      <c r="I188" s="112"/>
      <c r="J188" s="156"/>
      <c r="K188" s="2"/>
      <c r="L188" s="2"/>
      <c r="M188" s="2"/>
      <c r="N188" s="2"/>
      <c r="O188" s="2"/>
      <c r="P188" s="11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 x14ac:dyDescent="0.2">
      <c r="A189" s="2"/>
      <c r="B189" s="2"/>
      <c r="C189" s="2"/>
      <c r="D189" s="2"/>
      <c r="E189" s="112"/>
      <c r="F189" s="112"/>
      <c r="G189" s="112"/>
      <c r="H189" s="156"/>
      <c r="I189" s="112"/>
      <c r="J189" s="156"/>
      <c r="K189" s="2"/>
      <c r="L189" s="2"/>
      <c r="M189" s="2"/>
      <c r="N189" s="2"/>
      <c r="O189" s="2"/>
      <c r="P189" s="11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 x14ac:dyDescent="0.2">
      <c r="A190" s="2"/>
      <c r="B190" s="2"/>
      <c r="C190" s="2"/>
      <c r="D190" s="2"/>
      <c r="E190" s="112"/>
      <c r="F190" s="112"/>
      <c r="G190" s="112"/>
      <c r="H190" s="156"/>
      <c r="I190" s="112"/>
      <c r="J190" s="156"/>
      <c r="K190" s="2"/>
      <c r="L190" s="2"/>
      <c r="M190" s="2"/>
      <c r="N190" s="2"/>
      <c r="O190" s="2"/>
      <c r="P190" s="11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 x14ac:dyDescent="0.2">
      <c r="A191" s="2"/>
      <c r="B191" s="2"/>
      <c r="C191" s="2"/>
      <c r="D191" s="2"/>
      <c r="E191" s="112"/>
      <c r="F191" s="112"/>
      <c r="G191" s="112"/>
      <c r="H191" s="156"/>
      <c r="I191" s="112"/>
      <c r="J191" s="156"/>
      <c r="K191" s="2"/>
      <c r="L191" s="2"/>
      <c r="M191" s="2"/>
      <c r="N191" s="2"/>
      <c r="O191" s="2"/>
      <c r="P191" s="11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 x14ac:dyDescent="0.2">
      <c r="A192" s="2"/>
      <c r="B192" s="2"/>
      <c r="C192" s="2"/>
      <c r="D192" s="2"/>
      <c r="E192" s="112"/>
      <c r="F192" s="112"/>
      <c r="G192" s="112"/>
      <c r="H192" s="156"/>
      <c r="I192" s="112"/>
      <c r="J192" s="156"/>
      <c r="K192" s="2"/>
      <c r="L192" s="2"/>
      <c r="M192" s="2"/>
      <c r="N192" s="2"/>
      <c r="O192" s="2"/>
      <c r="P192" s="11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 x14ac:dyDescent="0.2">
      <c r="A193" s="2"/>
      <c r="B193" s="2"/>
      <c r="C193" s="2"/>
      <c r="D193" s="2"/>
      <c r="E193" s="112"/>
      <c r="F193" s="112"/>
      <c r="G193" s="112"/>
      <c r="H193" s="156"/>
      <c r="I193" s="112"/>
      <c r="J193" s="156"/>
      <c r="K193" s="2"/>
      <c r="L193" s="2"/>
      <c r="M193" s="2"/>
      <c r="N193" s="2"/>
      <c r="O193" s="2"/>
      <c r="P193" s="11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 x14ac:dyDescent="0.2">
      <c r="A194" s="2"/>
      <c r="B194" s="2"/>
      <c r="C194" s="2"/>
      <c r="D194" s="2"/>
      <c r="E194" s="112"/>
      <c r="F194" s="112"/>
      <c r="G194" s="112"/>
      <c r="H194" s="156"/>
      <c r="I194" s="112"/>
      <c r="J194" s="156"/>
      <c r="K194" s="2"/>
      <c r="L194" s="2"/>
      <c r="M194" s="2"/>
      <c r="N194" s="2"/>
      <c r="O194" s="2"/>
      <c r="P194" s="11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 x14ac:dyDescent="0.2">
      <c r="A195" s="2"/>
      <c r="B195" s="2"/>
      <c r="C195" s="2"/>
      <c r="D195" s="2"/>
      <c r="E195" s="112"/>
      <c r="F195" s="112"/>
      <c r="G195" s="112"/>
      <c r="H195" s="156"/>
      <c r="I195" s="112"/>
      <c r="J195" s="156"/>
      <c r="K195" s="2"/>
      <c r="L195" s="2"/>
      <c r="M195" s="2"/>
      <c r="N195" s="2"/>
      <c r="O195" s="2"/>
      <c r="P195" s="11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 x14ac:dyDescent="0.2">
      <c r="A196" s="2"/>
      <c r="B196" s="2"/>
      <c r="C196" s="2"/>
      <c r="D196" s="2"/>
      <c r="E196" s="112"/>
      <c r="F196" s="112"/>
      <c r="G196" s="112"/>
      <c r="H196" s="156"/>
      <c r="I196" s="112"/>
      <c r="J196" s="156"/>
      <c r="K196" s="2"/>
      <c r="L196" s="2"/>
      <c r="M196" s="2"/>
      <c r="N196" s="2"/>
      <c r="O196" s="2"/>
      <c r="P196" s="11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 x14ac:dyDescent="0.2">
      <c r="A197" s="2"/>
      <c r="B197" s="2"/>
      <c r="C197" s="2"/>
      <c r="D197" s="2"/>
      <c r="E197" s="112"/>
      <c r="F197" s="112"/>
      <c r="G197" s="112"/>
      <c r="H197" s="156"/>
      <c r="I197" s="112"/>
      <c r="J197" s="156"/>
      <c r="K197" s="2"/>
      <c r="L197" s="2"/>
      <c r="M197" s="2"/>
      <c r="N197" s="2"/>
      <c r="O197" s="2"/>
      <c r="P197" s="11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 x14ac:dyDescent="0.2">
      <c r="A198" s="2"/>
      <c r="B198" s="2"/>
      <c r="C198" s="2"/>
      <c r="D198" s="2"/>
      <c r="E198" s="112"/>
      <c r="F198" s="112"/>
      <c r="G198" s="112"/>
      <c r="H198" s="156"/>
      <c r="I198" s="112"/>
      <c r="J198" s="156"/>
      <c r="K198" s="2"/>
      <c r="L198" s="2"/>
      <c r="M198" s="2"/>
      <c r="N198" s="2"/>
      <c r="O198" s="2"/>
      <c r="P198" s="11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 x14ac:dyDescent="0.2">
      <c r="A199" s="2"/>
      <c r="B199" s="2"/>
      <c r="C199" s="2"/>
      <c r="D199" s="2"/>
      <c r="E199" s="112"/>
      <c r="F199" s="112"/>
      <c r="G199" s="112"/>
      <c r="H199" s="156"/>
      <c r="I199" s="112"/>
      <c r="J199" s="156"/>
      <c r="K199" s="2"/>
      <c r="L199" s="2"/>
      <c r="M199" s="2"/>
      <c r="N199" s="2"/>
      <c r="O199" s="2"/>
      <c r="P199" s="11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 x14ac:dyDescent="0.2">
      <c r="A200" s="2"/>
      <c r="B200" s="2"/>
      <c r="C200" s="2"/>
      <c r="D200" s="2"/>
      <c r="E200" s="112"/>
      <c r="F200" s="112"/>
      <c r="G200" s="112"/>
      <c r="H200" s="156"/>
      <c r="I200" s="112"/>
      <c r="J200" s="156"/>
      <c r="K200" s="2"/>
      <c r="L200" s="2"/>
      <c r="M200" s="2"/>
      <c r="N200" s="2"/>
      <c r="O200" s="2"/>
      <c r="P200" s="11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 x14ac:dyDescent="0.2">
      <c r="A201" s="2"/>
      <c r="B201" s="2"/>
      <c r="C201" s="2"/>
      <c r="D201" s="2"/>
      <c r="E201" s="112"/>
      <c r="F201" s="112"/>
      <c r="G201" s="112"/>
      <c r="H201" s="156"/>
      <c r="I201" s="112"/>
      <c r="J201" s="156"/>
      <c r="K201" s="2"/>
      <c r="L201" s="2"/>
      <c r="M201" s="2"/>
      <c r="N201" s="2"/>
      <c r="O201" s="2"/>
      <c r="P201" s="11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 x14ac:dyDescent="0.2">
      <c r="A202" s="2"/>
      <c r="B202" s="2"/>
      <c r="C202" s="2"/>
      <c r="D202" s="2"/>
      <c r="E202" s="112"/>
      <c r="F202" s="112"/>
      <c r="G202" s="112"/>
      <c r="H202" s="156"/>
      <c r="I202" s="112"/>
      <c r="J202" s="156"/>
      <c r="K202" s="2"/>
      <c r="L202" s="2"/>
      <c r="M202" s="2"/>
      <c r="N202" s="2"/>
      <c r="O202" s="2"/>
      <c r="P202" s="11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 x14ac:dyDescent="0.2">
      <c r="A203" s="2"/>
      <c r="B203" s="2"/>
      <c r="C203" s="2"/>
      <c r="D203" s="2"/>
      <c r="E203" s="112"/>
      <c r="F203" s="112"/>
      <c r="G203" s="112"/>
      <c r="H203" s="156"/>
      <c r="I203" s="112"/>
      <c r="J203" s="156"/>
      <c r="K203" s="2"/>
      <c r="L203" s="2"/>
      <c r="M203" s="2"/>
      <c r="N203" s="2"/>
      <c r="O203" s="2"/>
      <c r="P203" s="11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 x14ac:dyDescent="0.2">
      <c r="A204" s="2"/>
      <c r="B204" s="2"/>
      <c r="C204" s="2"/>
      <c r="D204" s="2"/>
      <c r="E204" s="112"/>
      <c r="F204" s="112"/>
      <c r="G204" s="112"/>
      <c r="H204" s="156"/>
      <c r="I204" s="112"/>
      <c r="J204" s="156"/>
      <c r="K204" s="2"/>
      <c r="L204" s="2"/>
      <c r="M204" s="2"/>
      <c r="N204" s="2"/>
      <c r="O204" s="2"/>
      <c r="P204" s="11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 x14ac:dyDescent="0.2">
      <c r="A205" s="2"/>
      <c r="B205" s="2"/>
      <c r="C205" s="2"/>
      <c r="D205" s="2"/>
      <c r="E205" s="112"/>
      <c r="F205" s="112"/>
      <c r="G205" s="112"/>
      <c r="H205" s="156"/>
      <c r="I205" s="112"/>
      <c r="J205" s="156"/>
      <c r="K205" s="2"/>
      <c r="L205" s="2"/>
      <c r="M205" s="2"/>
      <c r="N205" s="2"/>
      <c r="O205" s="2"/>
      <c r="P205" s="11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 x14ac:dyDescent="0.2">
      <c r="A206" s="2"/>
      <c r="B206" s="2"/>
      <c r="C206" s="2"/>
      <c r="D206" s="2"/>
      <c r="E206" s="112"/>
      <c r="F206" s="112"/>
      <c r="G206" s="112"/>
      <c r="H206" s="156"/>
      <c r="I206" s="112"/>
      <c r="J206" s="156"/>
      <c r="K206" s="2"/>
      <c r="L206" s="2"/>
      <c r="M206" s="2"/>
      <c r="N206" s="2"/>
      <c r="O206" s="2"/>
      <c r="P206" s="11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 x14ac:dyDescent="0.2">
      <c r="A207" s="2"/>
      <c r="B207" s="2"/>
      <c r="C207" s="2"/>
      <c r="D207" s="2"/>
      <c r="E207" s="112"/>
      <c r="F207" s="112"/>
      <c r="G207" s="112"/>
      <c r="H207" s="156"/>
      <c r="I207" s="112"/>
      <c r="J207" s="156"/>
      <c r="K207" s="2"/>
      <c r="L207" s="2"/>
      <c r="M207" s="2"/>
      <c r="N207" s="2"/>
      <c r="O207" s="2"/>
      <c r="P207" s="11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 x14ac:dyDescent="0.2">
      <c r="A208" s="2"/>
      <c r="B208" s="2"/>
      <c r="C208" s="2"/>
      <c r="D208" s="2"/>
      <c r="E208" s="112"/>
      <c r="F208" s="112"/>
      <c r="G208" s="112"/>
      <c r="H208" s="156"/>
      <c r="I208" s="112"/>
      <c r="J208" s="156"/>
      <c r="K208" s="2"/>
      <c r="L208" s="2"/>
      <c r="M208" s="2"/>
      <c r="N208" s="2"/>
      <c r="O208" s="2"/>
      <c r="P208" s="11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 x14ac:dyDescent="0.2">
      <c r="A209" s="2"/>
      <c r="B209" s="2"/>
      <c r="C209" s="2"/>
      <c r="D209" s="2"/>
      <c r="E209" s="112"/>
      <c r="F209" s="112"/>
      <c r="G209" s="112"/>
      <c r="H209" s="156"/>
      <c r="I209" s="112"/>
      <c r="J209" s="156"/>
      <c r="K209" s="2"/>
      <c r="L209" s="2"/>
      <c r="M209" s="2"/>
      <c r="N209" s="2"/>
      <c r="O209" s="2"/>
      <c r="P209" s="11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 x14ac:dyDescent="0.2">
      <c r="A210" s="2"/>
      <c r="B210" s="2"/>
      <c r="C210" s="2"/>
      <c r="D210" s="2"/>
      <c r="E210" s="112"/>
      <c r="F210" s="112"/>
      <c r="G210" s="112"/>
      <c r="H210" s="156"/>
      <c r="I210" s="112"/>
      <c r="J210" s="156"/>
      <c r="K210" s="2"/>
      <c r="L210" s="2"/>
      <c r="M210" s="2"/>
      <c r="N210" s="2"/>
      <c r="O210" s="2"/>
      <c r="P210" s="11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 x14ac:dyDescent="0.2">
      <c r="A211" s="2"/>
      <c r="B211" s="2"/>
      <c r="C211" s="2"/>
      <c r="D211" s="2"/>
      <c r="E211" s="112"/>
      <c r="F211" s="112"/>
      <c r="G211" s="112"/>
      <c r="H211" s="156"/>
      <c r="I211" s="112"/>
      <c r="J211" s="156"/>
      <c r="K211" s="2"/>
      <c r="L211" s="2"/>
      <c r="M211" s="2"/>
      <c r="N211" s="2"/>
      <c r="O211" s="2"/>
      <c r="P211" s="11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 x14ac:dyDescent="0.2">
      <c r="A212" s="2"/>
      <c r="B212" s="2"/>
      <c r="C212" s="2"/>
      <c r="D212" s="2"/>
      <c r="E212" s="112"/>
      <c r="F212" s="112"/>
      <c r="G212" s="112"/>
      <c r="H212" s="156"/>
      <c r="I212" s="112"/>
      <c r="J212" s="156"/>
      <c r="K212" s="2"/>
      <c r="L212" s="2"/>
      <c r="M212" s="2"/>
      <c r="N212" s="2"/>
      <c r="O212" s="2"/>
      <c r="P212" s="11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 x14ac:dyDescent="0.2">
      <c r="A213" s="2"/>
      <c r="B213" s="2"/>
      <c r="C213" s="2"/>
      <c r="D213" s="2"/>
      <c r="E213" s="112"/>
      <c r="F213" s="112"/>
      <c r="G213" s="112"/>
      <c r="H213" s="156"/>
      <c r="I213" s="112"/>
      <c r="J213" s="156"/>
      <c r="K213" s="2"/>
      <c r="L213" s="2"/>
      <c r="M213" s="2"/>
      <c r="N213" s="2"/>
      <c r="O213" s="2"/>
      <c r="P213" s="11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 x14ac:dyDescent="0.2">
      <c r="A214" s="2"/>
      <c r="B214" s="2"/>
      <c r="C214" s="2"/>
      <c r="D214" s="2"/>
      <c r="E214" s="112"/>
      <c r="F214" s="112"/>
      <c r="G214" s="112"/>
      <c r="H214" s="156"/>
      <c r="I214" s="112"/>
      <c r="J214" s="156"/>
      <c r="K214" s="2"/>
      <c r="L214" s="2"/>
      <c r="M214" s="2"/>
      <c r="N214" s="2"/>
      <c r="O214" s="2"/>
      <c r="P214" s="11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 x14ac:dyDescent="0.2">
      <c r="A215" s="2"/>
      <c r="B215" s="2"/>
      <c r="C215" s="2"/>
      <c r="D215" s="2"/>
      <c r="E215" s="112"/>
      <c r="F215" s="112"/>
      <c r="G215" s="112"/>
      <c r="H215" s="156"/>
      <c r="I215" s="112"/>
      <c r="J215" s="156"/>
      <c r="K215" s="2"/>
      <c r="L215" s="2"/>
      <c r="M215" s="2"/>
      <c r="N215" s="2"/>
      <c r="O215" s="2"/>
      <c r="P215" s="11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 x14ac:dyDescent="0.2">
      <c r="A216" s="2"/>
      <c r="B216" s="2"/>
      <c r="C216" s="2"/>
      <c r="D216" s="2"/>
      <c r="E216" s="112"/>
      <c r="F216" s="112"/>
      <c r="G216" s="112"/>
      <c r="H216" s="156"/>
      <c r="I216" s="112"/>
      <c r="J216" s="156"/>
      <c r="K216" s="2"/>
      <c r="L216" s="2"/>
      <c r="M216" s="2"/>
      <c r="N216" s="2"/>
      <c r="O216" s="2"/>
      <c r="P216" s="11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 x14ac:dyDescent="0.2">
      <c r="A217" s="2"/>
      <c r="B217" s="2"/>
      <c r="C217" s="2"/>
      <c r="D217" s="2"/>
      <c r="E217" s="112"/>
      <c r="F217" s="112"/>
      <c r="G217" s="112"/>
      <c r="H217" s="156"/>
      <c r="I217" s="112"/>
      <c r="J217" s="156"/>
      <c r="K217" s="2"/>
      <c r="L217" s="2"/>
      <c r="M217" s="2"/>
      <c r="N217" s="2"/>
      <c r="O217" s="2"/>
      <c r="P217" s="11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 x14ac:dyDescent="0.2">
      <c r="A218" s="2"/>
      <c r="B218" s="2"/>
      <c r="C218" s="2"/>
      <c r="D218" s="2"/>
      <c r="E218" s="112"/>
      <c r="F218" s="112"/>
      <c r="G218" s="112"/>
      <c r="H218" s="156"/>
      <c r="I218" s="112"/>
      <c r="J218" s="156"/>
      <c r="K218" s="2"/>
      <c r="L218" s="2"/>
      <c r="M218" s="2"/>
      <c r="N218" s="2"/>
      <c r="O218" s="2"/>
      <c r="P218" s="11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 x14ac:dyDescent="0.2">
      <c r="A219" s="2"/>
      <c r="B219" s="2"/>
      <c r="C219" s="2"/>
      <c r="D219" s="2"/>
      <c r="E219" s="112"/>
      <c r="F219" s="112"/>
      <c r="G219" s="112"/>
      <c r="H219" s="156"/>
      <c r="I219" s="112"/>
      <c r="J219" s="156"/>
      <c r="K219" s="2"/>
      <c r="L219" s="2"/>
      <c r="M219" s="2"/>
      <c r="N219" s="2"/>
      <c r="O219" s="2"/>
      <c r="P219" s="11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 x14ac:dyDescent="0.2">
      <c r="A220" s="2"/>
      <c r="B220" s="2"/>
      <c r="C220" s="2"/>
      <c r="D220" s="2"/>
      <c r="E220" s="112"/>
      <c r="F220" s="112"/>
      <c r="G220" s="112"/>
      <c r="H220" s="156"/>
      <c r="I220" s="112"/>
      <c r="J220" s="156"/>
      <c r="K220" s="2"/>
      <c r="L220" s="2"/>
      <c r="M220" s="2"/>
      <c r="N220" s="2"/>
      <c r="O220" s="2"/>
      <c r="P220" s="11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 x14ac:dyDescent="0.2">
      <c r="A221" s="2"/>
      <c r="B221" s="2"/>
      <c r="C221" s="2"/>
      <c r="D221" s="2"/>
      <c r="E221" s="112"/>
      <c r="F221" s="112"/>
      <c r="G221" s="112"/>
      <c r="H221" s="156"/>
      <c r="I221" s="112"/>
      <c r="J221" s="156"/>
      <c r="K221" s="2"/>
      <c r="L221" s="2"/>
      <c r="M221" s="2"/>
      <c r="N221" s="2"/>
      <c r="O221" s="2"/>
      <c r="P221" s="11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 x14ac:dyDescent="0.2">
      <c r="A222" s="2"/>
      <c r="B222" s="2"/>
      <c r="C222" s="2"/>
      <c r="D222" s="2"/>
      <c r="E222" s="112"/>
      <c r="F222" s="112"/>
      <c r="G222" s="112"/>
      <c r="H222" s="156"/>
      <c r="I222" s="112"/>
      <c r="J222" s="156"/>
      <c r="K222" s="2"/>
      <c r="L222" s="2"/>
      <c r="M222" s="2"/>
      <c r="N222" s="2"/>
      <c r="O222" s="2"/>
      <c r="P222" s="11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 x14ac:dyDescent="0.2">
      <c r="A223" s="2"/>
      <c r="B223" s="2"/>
      <c r="C223" s="2"/>
      <c r="D223" s="2"/>
      <c r="E223" s="112"/>
      <c r="F223" s="112"/>
      <c r="G223" s="112"/>
      <c r="H223" s="156"/>
      <c r="I223" s="112"/>
      <c r="J223" s="156"/>
      <c r="K223" s="2"/>
      <c r="L223" s="2"/>
      <c r="M223" s="2"/>
      <c r="N223" s="2"/>
      <c r="O223" s="2"/>
      <c r="P223" s="11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 x14ac:dyDescent="0.2">
      <c r="A224" s="2"/>
      <c r="B224" s="2"/>
      <c r="C224" s="2"/>
      <c r="D224" s="2"/>
      <c r="E224" s="112"/>
      <c r="F224" s="112"/>
      <c r="G224" s="112"/>
      <c r="H224" s="156"/>
      <c r="I224" s="112"/>
      <c r="J224" s="156"/>
      <c r="K224" s="2"/>
      <c r="L224" s="2"/>
      <c r="M224" s="2"/>
      <c r="N224" s="2"/>
      <c r="O224" s="2"/>
      <c r="P224" s="11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 x14ac:dyDescent="0.2">
      <c r="A225" s="2"/>
      <c r="B225" s="2"/>
      <c r="C225" s="2"/>
      <c r="D225" s="2"/>
      <c r="E225" s="112"/>
      <c r="F225" s="112"/>
      <c r="G225" s="112"/>
      <c r="H225" s="156"/>
      <c r="I225" s="112"/>
      <c r="J225" s="156"/>
      <c r="K225" s="2"/>
      <c r="L225" s="2"/>
      <c r="M225" s="2"/>
      <c r="N225" s="2"/>
      <c r="O225" s="2"/>
      <c r="P225" s="11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 x14ac:dyDescent="0.2">
      <c r="A226" s="2"/>
      <c r="B226" s="2"/>
      <c r="C226" s="2"/>
      <c r="D226" s="2"/>
      <c r="E226" s="112"/>
      <c r="F226" s="112"/>
      <c r="G226" s="112"/>
      <c r="H226" s="156"/>
      <c r="I226" s="112"/>
      <c r="J226" s="156"/>
      <c r="K226" s="2"/>
      <c r="L226" s="2"/>
      <c r="M226" s="2"/>
      <c r="N226" s="2"/>
      <c r="O226" s="2"/>
      <c r="P226" s="11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.75" customHeight="1" x14ac:dyDescent="0.2">
      <c r="A227" s="2"/>
      <c r="B227" s="2"/>
      <c r="C227" s="2"/>
      <c r="D227" s="2"/>
      <c r="E227" s="112"/>
      <c r="F227" s="112"/>
      <c r="G227" s="112"/>
      <c r="H227" s="156"/>
      <c r="I227" s="112"/>
      <c r="J227" s="156"/>
      <c r="K227" s="2"/>
      <c r="L227" s="2"/>
      <c r="M227" s="2"/>
      <c r="N227" s="2"/>
      <c r="O227" s="2"/>
      <c r="P227" s="11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.75" customHeight="1" x14ac:dyDescent="0.2">
      <c r="A228" s="2"/>
      <c r="B228" s="2"/>
      <c r="C228" s="2"/>
      <c r="D228" s="2"/>
      <c r="E228" s="112"/>
      <c r="F228" s="112"/>
      <c r="G228" s="112"/>
      <c r="H228" s="156"/>
      <c r="I228" s="112"/>
      <c r="J228" s="156"/>
      <c r="K228" s="2"/>
      <c r="L228" s="2"/>
      <c r="M228" s="2"/>
      <c r="N228" s="2"/>
      <c r="O228" s="2"/>
      <c r="P228" s="11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.75" customHeight="1" x14ac:dyDescent="0.2">
      <c r="A229" s="2"/>
      <c r="B229" s="2"/>
      <c r="C229" s="2"/>
      <c r="D229" s="2"/>
      <c r="E229" s="112"/>
      <c r="F229" s="112"/>
      <c r="G229" s="112"/>
      <c r="H229" s="156"/>
      <c r="I229" s="112"/>
      <c r="J229" s="156"/>
      <c r="K229" s="2"/>
      <c r="L229" s="2"/>
      <c r="M229" s="2"/>
      <c r="N229" s="2"/>
      <c r="O229" s="2"/>
      <c r="P229" s="11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.75" customHeight="1" x14ac:dyDescent="0.2">
      <c r="A230" s="2"/>
      <c r="B230" s="2"/>
      <c r="C230" s="2"/>
      <c r="D230" s="2"/>
      <c r="E230" s="112"/>
      <c r="F230" s="112"/>
      <c r="G230" s="112"/>
      <c r="H230" s="156"/>
      <c r="I230" s="112"/>
      <c r="J230" s="156"/>
      <c r="K230" s="2"/>
      <c r="L230" s="2"/>
      <c r="M230" s="2"/>
      <c r="N230" s="2"/>
      <c r="O230" s="2"/>
      <c r="P230" s="11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.75" customHeight="1" x14ac:dyDescent="0.2">
      <c r="A231" s="2"/>
      <c r="B231" s="2"/>
      <c r="C231" s="2"/>
      <c r="D231" s="2"/>
      <c r="E231" s="112"/>
      <c r="F231" s="112"/>
      <c r="G231" s="112"/>
      <c r="H231" s="156"/>
      <c r="I231" s="112"/>
      <c r="J231" s="156"/>
      <c r="K231" s="2"/>
      <c r="L231" s="2"/>
      <c r="M231" s="2"/>
      <c r="N231" s="2"/>
      <c r="O231" s="2"/>
      <c r="P231" s="11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.75" customHeight="1" x14ac:dyDescent="0.2">
      <c r="A232" s="2"/>
      <c r="B232" s="2"/>
      <c r="C232" s="2"/>
      <c r="D232" s="2"/>
      <c r="E232" s="112"/>
      <c r="F232" s="112"/>
      <c r="G232" s="112"/>
      <c r="H232" s="156"/>
      <c r="I232" s="112"/>
      <c r="J232" s="156"/>
      <c r="K232" s="2"/>
      <c r="L232" s="2"/>
      <c r="M232" s="2"/>
      <c r="N232" s="2"/>
      <c r="O232" s="2"/>
      <c r="P232" s="11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.75" customHeight="1" x14ac:dyDescent="0.2">
      <c r="A233" s="2"/>
      <c r="B233" s="2"/>
      <c r="C233" s="2"/>
      <c r="D233" s="2"/>
      <c r="E233" s="112"/>
      <c r="F233" s="112"/>
      <c r="G233" s="112"/>
      <c r="H233" s="156"/>
      <c r="I233" s="112"/>
      <c r="J233" s="156"/>
      <c r="K233" s="2"/>
      <c r="L233" s="2"/>
      <c r="M233" s="2"/>
      <c r="N233" s="2"/>
      <c r="O233" s="2"/>
      <c r="P233" s="11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.75" customHeight="1" x14ac:dyDescent="0.2">
      <c r="A234" s="2"/>
      <c r="B234" s="2"/>
      <c r="C234" s="2"/>
      <c r="D234" s="2"/>
      <c r="E234" s="112"/>
      <c r="F234" s="112"/>
      <c r="G234" s="112"/>
      <c r="H234" s="156"/>
      <c r="I234" s="112"/>
      <c r="J234" s="156"/>
      <c r="K234" s="2"/>
      <c r="L234" s="2"/>
      <c r="M234" s="2"/>
      <c r="N234" s="2"/>
      <c r="O234" s="2"/>
      <c r="P234" s="11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.75" customHeight="1" x14ac:dyDescent="0.2">
      <c r="A235" s="2"/>
      <c r="B235" s="2"/>
      <c r="C235" s="2"/>
      <c r="D235" s="2"/>
      <c r="E235" s="112"/>
      <c r="F235" s="112"/>
      <c r="G235" s="112"/>
      <c r="H235" s="156"/>
      <c r="I235" s="112"/>
      <c r="J235" s="156"/>
      <c r="K235" s="2"/>
      <c r="L235" s="2"/>
      <c r="M235" s="2"/>
      <c r="N235" s="2"/>
      <c r="O235" s="2"/>
      <c r="P235" s="11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.75" customHeight="1" x14ac:dyDescent="0.2">
      <c r="A236" s="2"/>
      <c r="B236" s="2"/>
      <c r="C236" s="2"/>
      <c r="D236" s="2"/>
      <c r="E236" s="112"/>
      <c r="F236" s="112"/>
      <c r="G236" s="112"/>
      <c r="H236" s="156"/>
      <c r="I236" s="112"/>
      <c r="J236" s="156"/>
      <c r="K236" s="2"/>
      <c r="L236" s="2"/>
      <c r="M236" s="2"/>
      <c r="N236" s="2"/>
      <c r="O236" s="2"/>
      <c r="P236" s="11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.75" customHeight="1" x14ac:dyDescent="0.2">
      <c r="A237" s="2"/>
      <c r="B237" s="2"/>
      <c r="C237" s="2"/>
      <c r="D237" s="2"/>
      <c r="E237" s="112"/>
      <c r="F237" s="112"/>
      <c r="G237" s="112"/>
      <c r="H237" s="156"/>
      <c r="I237" s="112"/>
      <c r="J237" s="156"/>
      <c r="K237" s="2"/>
      <c r="L237" s="2"/>
      <c r="M237" s="2"/>
      <c r="N237" s="2"/>
      <c r="O237" s="2"/>
      <c r="P237" s="11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.75" customHeight="1" x14ac:dyDescent="0.2">
      <c r="A238" s="2"/>
      <c r="B238" s="2"/>
      <c r="C238" s="2"/>
      <c r="D238" s="2"/>
      <c r="E238" s="112"/>
      <c r="F238" s="112"/>
      <c r="G238" s="112"/>
      <c r="H238" s="156"/>
      <c r="I238" s="112"/>
      <c r="J238" s="156"/>
      <c r="K238" s="2"/>
      <c r="L238" s="2"/>
      <c r="M238" s="2"/>
      <c r="N238" s="2"/>
      <c r="O238" s="2"/>
      <c r="P238" s="11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.75" customHeight="1" x14ac:dyDescent="0.2">
      <c r="A239" s="2"/>
      <c r="B239" s="2"/>
      <c r="C239" s="2"/>
      <c r="D239" s="2"/>
      <c r="E239" s="112"/>
      <c r="F239" s="112"/>
      <c r="G239" s="112"/>
      <c r="H239" s="156"/>
      <c r="I239" s="112"/>
      <c r="J239" s="156"/>
      <c r="K239" s="2"/>
      <c r="L239" s="2"/>
      <c r="M239" s="2"/>
      <c r="N239" s="2"/>
      <c r="O239" s="2"/>
      <c r="P239" s="11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.75" customHeight="1" x14ac:dyDescent="0.2">
      <c r="A240" s="2"/>
      <c r="B240" s="2"/>
      <c r="C240" s="2"/>
      <c r="D240" s="2"/>
      <c r="E240" s="112"/>
      <c r="F240" s="112"/>
      <c r="G240" s="112"/>
      <c r="H240" s="156"/>
      <c r="I240" s="112"/>
      <c r="J240" s="156"/>
      <c r="K240" s="2"/>
      <c r="L240" s="2"/>
      <c r="M240" s="2"/>
      <c r="N240" s="2"/>
      <c r="O240" s="2"/>
      <c r="P240" s="11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.75" customHeight="1" x14ac:dyDescent="0.2">
      <c r="A241" s="2"/>
      <c r="B241" s="2"/>
      <c r="C241" s="2"/>
      <c r="D241" s="2"/>
      <c r="E241" s="112"/>
      <c r="F241" s="112"/>
      <c r="G241" s="112"/>
      <c r="H241" s="156"/>
      <c r="I241" s="112"/>
      <c r="J241" s="156"/>
      <c r="K241" s="2"/>
      <c r="L241" s="2"/>
      <c r="M241" s="2"/>
      <c r="N241" s="2"/>
      <c r="O241" s="2"/>
      <c r="P241" s="11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.75" customHeight="1" x14ac:dyDescent="0.2">
      <c r="A242" s="2"/>
      <c r="B242" s="2"/>
      <c r="C242" s="2"/>
      <c r="D242" s="2"/>
      <c r="E242" s="112"/>
      <c r="F242" s="112"/>
      <c r="G242" s="112"/>
      <c r="H242" s="156"/>
      <c r="I242" s="112"/>
      <c r="J242" s="156"/>
      <c r="K242" s="2"/>
      <c r="L242" s="2"/>
      <c r="M242" s="2"/>
      <c r="N242" s="2"/>
      <c r="O242" s="2"/>
      <c r="P242" s="11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.75" customHeight="1" x14ac:dyDescent="0.2">
      <c r="A243" s="2"/>
      <c r="B243" s="2"/>
      <c r="C243" s="2"/>
      <c r="D243" s="2"/>
      <c r="E243" s="112"/>
      <c r="F243" s="112"/>
      <c r="G243" s="112"/>
      <c r="H243" s="156"/>
      <c r="I243" s="112"/>
      <c r="J243" s="156"/>
      <c r="K243" s="2"/>
      <c r="L243" s="2"/>
      <c r="M243" s="2"/>
      <c r="N243" s="2"/>
      <c r="O243" s="2"/>
      <c r="P243" s="11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.75" customHeight="1" x14ac:dyDescent="0.2">
      <c r="A244" s="2"/>
      <c r="B244" s="2"/>
      <c r="C244" s="2"/>
      <c r="D244" s="2"/>
      <c r="E244" s="112"/>
      <c r="F244" s="112"/>
      <c r="G244" s="112"/>
      <c r="H244" s="156"/>
      <c r="I244" s="112"/>
      <c r="J244" s="156"/>
      <c r="K244" s="2"/>
      <c r="L244" s="2"/>
      <c r="M244" s="2"/>
      <c r="N244" s="2"/>
      <c r="O244" s="2"/>
      <c r="P244" s="11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.75" customHeight="1" x14ac:dyDescent="0.2">
      <c r="A245" s="2"/>
      <c r="B245" s="2"/>
      <c r="C245" s="2"/>
      <c r="D245" s="2"/>
      <c r="E245" s="112"/>
      <c r="F245" s="112"/>
      <c r="G245" s="112"/>
      <c r="H245" s="156"/>
      <c r="I245" s="112"/>
      <c r="J245" s="156"/>
      <c r="K245" s="2"/>
      <c r="L245" s="2"/>
      <c r="M245" s="2"/>
      <c r="N245" s="2"/>
      <c r="O245" s="2"/>
      <c r="P245" s="11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.75" customHeight="1" x14ac:dyDescent="0.2">
      <c r="A246" s="2"/>
      <c r="B246" s="2"/>
      <c r="C246" s="2"/>
      <c r="D246" s="2"/>
      <c r="E246" s="112"/>
      <c r="F246" s="112"/>
      <c r="G246" s="112"/>
      <c r="H246" s="156"/>
      <c r="I246" s="112"/>
      <c r="J246" s="156"/>
      <c r="K246" s="2"/>
      <c r="L246" s="2"/>
      <c r="M246" s="2"/>
      <c r="N246" s="2"/>
      <c r="O246" s="2"/>
      <c r="P246" s="11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.75" customHeight="1" x14ac:dyDescent="0.2">
      <c r="A247" s="2"/>
      <c r="B247" s="2"/>
      <c r="C247" s="2"/>
      <c r="D247" s="2"/>
      <c r="E247" s="112"/>
      <c r="F247" s="112"/>
      <c r="G247" s="112"/>
      <c r="H247" s="156"/>
      <c r="I247" s="112"/>
      <c r="J247" s="156"/>
      <c r="K247" s="2"/>
      <c r="L247" s="2"/>
      <c r="M247" s="2"/>
      <c r="N247" s="2"/>
      <c r="O247" s="2"/>
      <c r="P247" s="11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.75" customHeight="1" x14ac:dyDescent="0.2">
      <c r="A248" s="2"/>
      <c r="B248" s="2"/>
      <c r="C248" s="2"/>
      <c r="D248" s="2"/>
      <c r="E248" s="112"/>
      <c r="F248" s="112"/>
      <c r="G248" s="112"/>
      <c r="H248" s="156"/>
      <c r="I248" s="112"/>
      <c r="J248" s="156"/>
      <c r="K248" s="2"/>
      <c r="L248" s="2"/>
      <c r="M248" s="2"/>
      <c r="N248" s="2"/>
      <c r="O248" s="2"/>
      <c r="P248" s="11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.75" customHeight="1" x14ac:dyDescent="0.2">
      <c r="A249" s="2"/>
      <c r="B249" s="2"/>
      <c r="C249" s="2"/>
      <c r="D249" s="2"/>
      <c r="E249" s="112"/>
      <c r="F249" s="112"/>
      <c r="G249" s="112"/>
      <c r="H249" s="156"/>
      <c r="I249" s="112"/>
      <c r="J249" s="156"/>
      <c r="K249" s="2"/>
      <c r="L249" s="2"/>
      <c r="M249" s="2"/>
      <c r="N249" s="2"/>
      <c r="O249" s="2"/>
      <c r="P249" s="11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.75" customHeight="1" x14ac:dyDescent="0.2">
      <c r="A250" s="2"/>
      <c r="B250" s="2"/>
      <c r="C250" s="2"/>
      <c r="D250" s="2"/>
      <c r="E250" s="112"/>
      <c r="F250" s="112"/>
      <c r="G250" s="112"/>
      <c r="H250" s="156"/>
      <c r="I250" s="112"/>
      <c r="J250" s="156"/>
      <c r="K250" s="2"/>
      <c r="L250" s="2"/>
      <c r="M250" s="2"/>
      <c r="N250" s="2"/>
      <c r="O250" s="2"/>
      <c r="P250" s="11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.75" customHeight="1" x14ac:dyDescent="0.2">
      <c r="A251" s="2"/>
      <c r="B251" s="2"/>
      <c r="C251" s="2"/>
      <c r="D251" s="2"/>
      <c r="E251" s="112"/>
      <c r="F251" s="112"/>
      <c r="G251" s="112"/>
      <c r="H251" s="156"/>
      <c r="I251" s="112"/>
      <c r="J251" s="156"/>
      <c r="K251" s="2"/>
      <c r="L251" s="2"/>
      <c r="M251" s="2"/>
      <c r="N251" s="2"/>
      <c r="O251" s="2"/>
      <c r="P251" s="11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.75" customHeight="1" x14ac:dyDescent="0.2">
      <c r="A252" s="2"/>
      <c r="B252" s="2"/>
      <c r="C252" s="2"/>
      <c r="D252" s="2"/>
      <c r="E252" s="112"/>
      <c r="F252" s="112"/>
      <c r="G252" s="112"/>
      <c r="H252" s="156"/>
      <c r="I252" s="112"/>
      <c r="J252" s="156"/>
      <c r="K252" s="2"/>
      <c r="L252" s="2"/>
      <c r="M252" s="2"/>
      <c r="N252" s="2"/>
      <c r="O252" s="2"/>
      <c r="P252" s="11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.75" customHeight="1" x14ac:dyDescent="0.2">
      <c r="A253" s="2"/>
      <c r="B253" s="2"/>
      <c r="C253" s="2"/>
      <c r="D253" s="2"/>
      <c r="E253" s="112"/>
      <c r="F253" s="112"/>
      <c r="G253" s="112"/>
      <c r="H253" s="156"/>
      <c r="I253" s="112"/>
      <c r="J253" s="156"/>
      <c r="K253" s="2"/>
      <c r="L253" s="2"/>
      <c r="M253" s="2"/>
      <c r="N253" s="2"/>
      <c r="O253" s="2"/>
      <c r="P253" s="11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.75" customHeight="1" x14ac:dyDescent="0.2">
      <c r="A254" s="2"/>
      <c r="B254" s="2"/>
      <c r="C254" s="2"/>
      <c r="D254" s="2"/>
      <c r="E254" s="112"/>
      <c r="F254" s="112"/>
      <c r="G254" s="112"/>
      <c r="H254" s="156"/>
      <c r="I254" s="112"/>
      <c r="J254" s="156"/>
      <c r="K254" s="2"/>
      <c r="L254" s="2"/>
      <c r="M254" s="2"/>
      <c r="N254" s="2"/>
      <c r="O254" s="2"/>
      <c r="P254" s="11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.75" customHeight="1" x14ac:dyDescent="0.2">
      <c r="A255" s="2"/>
      <c r="B255" s="2"/>
      <c r="C255" s="2"/>
      <c r="D255" s="2"/>
      <c r="E255" s="112"/>
      <c r="F255" s="112"/>
      <c r="G255" s="112"/>
      <c r="H255" s="156"/>
      <c r="I255" s="112"/>
      <c r="J255" s="156"/>
      <c r="K255" s="2"/>
      <c r="L255" s="2"/>
      <c r="M255" s="2"/>
      <c r="N255" s="2"/>
      <c r="O255" s="2"/>
      <c r="P255" s="11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.75" customHeight="1" x14ac:dyDescent="0.2">
      <c r="A256" s="2"/>
      <c r="B256" s="2"/>
      <c r="C256" s="2"/>
      <c r="D256" s="2"/>
      <c r="E256" s="112"/>
      <c r="F256" s="112"/>
      <c r="G256" s="112"/>
      <c r="H256" s="156"/>
      <c r="I256" s="112"/>
      <c r="J256" s="156"/>
      <c r="K256" s="2"/>
      <c r="L256" s="2"/>
      <c r="M256" s="2"/>
      <c r="N256" s="2"/>
      <c r="O256" s="2"/>
      <c r="P256" s="11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.75" customHeight="1" x14ac:dyDescent="0.2">
      <c r="A257" s="2"/>
      <c r="B257" s="2"/>
      <c r="C257" s="2"/>
      <c r="D257" s="2"/>
      <c r="E257" s="112"/>
      <c r="F257" s="112"/>
      <c r="G257" s="112"/>
      <c r="H257" s="156"/>
      <c r="I257" s="112"/>
      <c r="J257" s="156"/>
      <c r="K257" s="2"/>
      <c r="L257" s="2"/>
      <c r="M257" s="2"/>
      <c r="N257" s="2"/>
      <c r="O257" s="2"/>
      <c r="P257" s="11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</sheetData>
  <mergeCells count="1">
    <mergeCell ref="A1:P1"/>
  </mergeCells>
  <conditionalFormatting sqref="A3:A50">
    <cfRule type="cellIs" dxfId="31" priority="1" operator="equal">
      <formula>"250ml"</formula>
    </cfRule>
    <cfRule type="cellIs" dxfId="30" priority="2" operator="equal">
      <formula>"1.5L"</formula>
    </cfRule>
    <cfRule type="cellIs" dxfId="29" priority="3" operator="equal">
      <formula>"1L"</formula>
    </cfRule>
    <cfRule type="cellIs" dxfId="28" priority="4" operator="equal">
      <formula>"750ml"</formula>
    </cfRule>
    <cfRule type="cellIs" dxfId="27" priority="5" operator="equal">
      <formula>"375ml"</formula>
    </cfRule>
    <cfRule type="cellIs" dxfId="26" priority="6" operator="equal">
      <formula>"187ml"</formula>
    </cfRule>
  </conditionalFormatting>
  <conditionalFormatting sqref="B3:B50">
    <cfRule type="cellIs" dxfId="25" priority="7" operator="equal">
      <formula>8.45</formula>
    </cfRule>
    <cfRule type="cellIs" dxfId="24" priority="8" operator="equal">
      <formula>50.72</formula>
    </cfRule>
    <cfRule type="cellIs" dxfId="23" priority="9" operator="equal">
      <formula>33.814</formula>
    </cfRule>
    <cfRule type="cellIs" dxfId="22" priority="10" operator="equal">
      <formula>25.36</formula>
    </cfRule>
    <cfRule type="cellIs" dxfId="21" priority="11" operator="equal">
      <formula>12.68</formula>
    </cfRule>
    <cfRule type="cellIs" dxfId="20" priority="12" operator="equal">
      <formula>$A$2</formula>
    </cfRule>
  </conditionalFormatting>
  <dataValidations count="3">
    <dataValidation type="list" allowBlank="1" showErrorMessage="1" sqref="D3:D50" xr:uid="{00000000-0002-0000-0100-000000000000}">
      <formula1>"White,Red,Sparkling,Rosé,Event White,Event Red,Event Sparkling,Event Rose,Happy Hour Wine,Dessert Wine,Owner's Rsv,BTG White,BTG Red,BTG Sparkling,BTG Rose,BTG Orange"</formula1>
    </dataValidation>
    <dataValidation type="list" allowBlank="1" showErrorMessage="1" sqref="A3:A50" xr:uid="{00000000-0002-0000-0100-000001000000}">
      <formula1>"187ml,250ml,375ml,500mL,750ml,1L,1.5L"</formula1>
    </dataValidation>
    <dataValidation type="list" allowBlank="1" showErrorMessage="1" sqref="B3:B50" xr:uid="{00000000-0002-0000-0100-000002000000}">
      <formula1>"6.323,8.45,12.68,16.91,25.36,33.814,50.72"</formula1>
    </dataValidation>
  </dataValidations>
  <printOptions gridLines="1"/>
  <pageMargins left="0.7" right="0.7" top="0.75" bottom="0.75" header="0" footer="0"/>
  <pageSetup scale="6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95"/>
  <sheetViews>
    <sheetView workbookViewId="0"/>
  </sheetViews>
  <sheetFormatPr defaultColWidth="14.390625" defaultRowHeight="15" customHeight="1" x14ac:dyDescent="0.2"/>
  <cols>
    <col min="1" max="1" width="9.01171875" customWidth="1"/>
    <col min="2" max="2" width="10.0859375" customWidth="1"/>
    <col min="3" max="3" width="46.6796875" customWidth="1"/>
    <col min="4" max="4" width="7.3984375" customWidth="1"/>
    <col min="5" max="5" width="10.22265625" hidden="1" customWidth="1"/>
    <col min="6" max="6" width="14.796875" hidden="1" customWidth="1"/>
    <col min="7" max="7" width="17.484375" hidden="1" customWidth="1"/>
    <col min="8" max="8" width="17.08203125" hidden="1" customWidth="1"/>
    <col min="9" max="9" width="22.734375" hidden="1" customWidth="1"/>
    <col min="10" max="10" width="15.33203125" hidden="1" customWidth="1"/>
    <col min="11" max="11" width="13.5859375" customWidth="1"/>
    <col min="12" max="12" width="21.25390625" customWidth="1"/>
    <col min="13" max="14" width="11.43359375" customWidth="1"/>
    <col min="15" max="15" width="22.46484375" customWidth="1"/>
  </cols>
  <sheetData>
    <row r="1" spans="1:15" ht="36.75" x14ac:dyDescent="0.5">
      <c r="A1" s="354" t="s">
        <v>515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5" x14ac:dyDescent="0.2">
      <c r="A2" s="158" t="s">
        <v>442</v>
      </c>
      <c r="B2" s="158" t="s">
        <v>443</v>
      </c>
      <c r="C2" s="158" t="s">
        <v>2</v>
      </c>
      <c r="D2" s="158" t="s">
        <v>444</v>
      </c>
      <c r="E2" s="159" t="s">
        <v>445</v>
      </c>
      <c r="F2" s="159" t="s">
        <v>446</v>
      </c>
      <c r="G2" s="159" t="s">
        <v>447</v>
      </c>
      <c r="H2" s="160" t="s">
        <v>448</v>
      </c>
      <c r="I2" s="159" t="s">
        <v>449</v>
      </c>
      <c r="J2" s="160" t="s">
        <v>450</v>
      </c>
      <c r="K2" s="158" t="s">
        <v>516</v>
      </c>
      <c r="L2" s="158" t="s">
        <v>517</v>
      </c>
      <c r="M2" s="158" t="s">
        <v>12</v>
      </c>
      <c r="N2" s="159" t="s">
        <v>13</v>
      </c>
      <c r="O2" s="161"/>
    </row>
    <row r="3" spans="1:15" x14ac:dyDescent="0.2">
      <c r="A3" s="70" t="s">
        <v>58</v>
      </c>
      <c r="B3" s="162">
        <v>25.36</v>
      </c>
      <c r="C3" s="70" t="s">
        <v>518</v>
      </c>
      <c r="D3" s="70" t="s">
        <v>519</v>
      </c>
      <c r="E3" s="163">
        <v>98.99</v>
      </c>
      <c r="F3" s="163">
        <f t="shared" ref="F3:F8" si="0">E3/B3</f>
        <v>3.9033911671924288</v>
      </c>
      <c r="G3" s="163">
        <v>175</v>
      </c>
      <c r="H3" s="164">
        <f>'Owners Collection'!$E3/'Owners Collection'!$G3</f>
        <v>0.56565714285714286</v>
      </c>
      <c r="I3" s="163">
        <v>98.99</v>
      </c>
      <c r="J3" s="164">
        <f>('Owners Collection'!$F3*5)/'Owners Collection'!$I3</f>
        <v>0.19716088328075709</v>
      </c>
      <c r="K3" s="70"/>
      <c r="L3" s="165"/>
      <c r="M3" s="70">
        <f t="shared" ref="M3:M8" si="1">SUM(K3:L3)</f>
        <v>0</v>
      </c>
      <c r="N3" s="163">
        <f>'Owners Collection'!$M3*'Owners Collection'!$E3</f>
        <v>0</v>
      </c>
      <c r="O3" s="166"/>
    </row>
    <row r="4" spans="1:15" x14ac:dyDescent="0.2">
      <c r="A4" s="70" t="s">
        <v>58</v>
      </c>
      <c r="B4" s="162">
        <v>25.36</v>
      </c>
      <c r="C4" s="167" t="s">
        <v>520</v>
      </c>
      <c r="D4" s="70" t="s">
        <v>519</v>
      </c>
      <c r="E4" s="163">
        <v>42.63</v>
      </c>
      <c r="F4" s="163">
        <f t="shared" si="0"/>
        <v>1.6809936908517351</v>
      </c>
      <c r="G4" s="163">
        <v>140</v>
      </c>
      <c r="H4" s="164">
        <f>'Owners Collection'!$E4/'Owners Collection'!$G4</f>
        <v>0.30449999999999999</v>
      </c>
      <c r="I4" s="163">
        <v>42.63</v>
      </c>
      <c r="J4" s="164">
        <f>('Owners Collection'!$F4*5)/'Owners Collection'!$I4</f>
        <v>0.19716088328075709</v>
      </c>
      <c r="K4" s="70"/>
      <c r="L4" s="165"/>
      <c r="M4" s="70">
        <f t="shared" si="1"/>
        <v>0</v>
      </c>
      <c r="N4" s="163">
        <f>'Owners Collection'!$M4*'Owners Collection'!$E4</f>
        <v>0</v>
      </c>
      <c r="O4" s="166"/>
    </row>
    <row r="5" spans="1:15" x14ac:dyDescent="0.2">
      <c r="A5" s="168" t="s">
        <v>58</v>
      </c>
      <c r="B5" s="162">
        <v>25.36</v>
      </c>
      <c r="C5" s="70" t="s">
        <v>521</v>
      </c>
      <c r="D5" s="70" t="s">
        <v>498</v>
      </c>
      <c r="E5" s="163">
        <v>65</v>
      </c>
      <c r="F5" s="163">
        <f t="shared" si="0"/>
        <v>2.5630914826498423</v>
      </c>
      <c r="G5" s="163">
        <v>165</v>
      </c>
      <c r="H5" s="164">
        <f>'Owners Collection'!$E5/'Owners Collection'!$G5</f>
        <v>0.39393939393939392</v>
      </c>
      <c r="I5" s="163">
        <v>65</v>
      </c>
      <c r="J5" s="164">
        <f>('Owners Collection'!$F5*5)/'Owners Collection'!$I5</f>
        <v>0.19716088328075709</v>
      </c>
      <c r="K5" s="70"/>
      <c r="L5" s="165"/>
      <c r="M5" s="70">
        <f t="shared" si="1"/>
        <v>0</v>
      </c>
      <c r="N5" s="163">
        <f>'Owners Collection'!$M5*'Owners Collection'!$E5</f>
        <v>0</v>
      </c>
      <c r="O5" s="166"/>
    </row>
    <row r="6" spans="1:15" ht="15.75" customHeight="1" x14ac:dyDescent="0.2">
      <c r="A6" s="168" t="s">
        <v>58</v>
      </c>
      <c r="B6" s="169">
        <v>25.36</v>
      </c>
      <c r="C6" s="70" t="s">
        <v>522</v>
      </c>
      <c r="D6" s="70" t="s">
        <v>498</v>
      </c>
      <c r="E6" s="170">
        <v>120</v>
      </c>
      <c r="F6" s="163">
        <f t="shared" si="0"/>
        <v>4.7318611987381702</v>
      </c>
      <c r="G6" s="163">
        <v>290</v>
      </c>
      <c r="H6" s="164">
        <f>'Owners Collection'!$E6/'Owners Collection'!$G6</f>
        <v>0.41379310344827586</v>
      </c>
      <c r="I6" s="163">
        <v>135.19999999999999</v>
      </c>
      <c r="J6" s="164">
        <f>('Owners Collection'!$F6*5)/'Owners Collection'!$I6</f>
        <v>0.17499486681724002</v>
      </c>
      <c r="K6" s="165"/>
      <c r="L6" s="165"/>
      <c r="M6" s="70">
        <f t="shared" si="1"/>
        <v>0</v>
      </c>
      <c r="N6" s="163">
        <f>'Owners Collection'!$M6*'Owners Collection'!$E6</f>
        <v>0</v>
      </c>
      <c r="O6" s="166"/>
    </row>
    <row r="7" spans="1:15" ht="15.75" customHeight="1" x14ac:dyDescent="0.2">
      <c r="A7" s="70" t="s">
        <v>58</v>
      </c>
      <c r="B7" s="171">
        <v>25.36</v>
      </c>
      <c r="C7" s="70" t="s">
        <v>523</v>
      </c>
      <c r="D7" s="70" t="s">
        <v>498</v>
      </c>
      <c r="E7" s="163">
        <v>198</v>
      </c>
      <c r="F7" s="163">
        <f t="shared" si="0"/>
        <v>7.8075709779179814</v>
      </c>
      <c r="G7" s="170">
        <v>390</v>
      </c>
      <c r="H7" s="164">
        <f>'Owners Collection'!$E7/'Owners Collection'!$G7</f>
        <v>0.50769230769230766</v>
      </c>
      <c r="I7" s="163">
        <v>185</v>
      </c>
      <c r="J7" s="164">
        <f>('Owners Collection'!$F7*5)/'Owners Collection'!$I7</f>
        <v>0.21101543183562113</v>
      </c>
      <c r="K7" s="70"/>
      <c r="L7" s="165"/>
      <c r="M7" s="70">
        <f t="shared" si="1"/>
        <v>0</v>
      </c>
      <c r="N7" s="163">
        <f>'Owners Collection'!$M7*'Owners Collection'!$E7</f>
        <v>0</v>
      </c>
      <c r="O7" s="166"/>
    </row>
    <row r="8" spans="1:15" ht="15.75" customHeight="1" x14ac:dyDescent="0.2">
      <c r="A8" s="24" t="s">
        <v>405</v>
      </c>
      <c r="B8" s="14">
        <v>33.814</v>
      </c>
      <c r="C8" s="24" t="s">
        <v>524</v>
      </c>
      <c r="D8" s="24" t="s">
        <v>498</v>
      </c>
      <c r="E8" s="9">
        <v>237.66</v>
      </c>
      <c r="F8" s="9">
        <f t="shared" si="0"/>
        <v>7.0284497545395395</v>
      </c>
      <c r="G8" s="9">
        <v>450</v>
      </c>
      <c r="H8" s="132">
        <f>'Owners Collection'!$E8/'Owners Collection'!$G8</f>
        <v>0.52813333333333334</v>
      </c>
      <c r="I8" s="9">
        <v>237.66</v>
      </c>
      <c r="J8" s="132">
        <f>('Owners Collection'!$F8*5)/'Owners Collection'!$I8</f>
        <v>0.14786774708700537</v>
      </c>
      <c r="K8" s="24"/>
      <c r="L8" s="135"/>
      <c r="M8" s="70">
        <f t="shared" si="1"/>
        <v>0</v>
      </c>
      <c r="N8" s="9">
        <f>'Owners Collection'!$M8*'Owners Collection'!$E8</f>
        <v>0</v>
      </c>
      <c r="O8" s="141"/>
    </row>
    <row r="9" spans="1:15" ht="15.75" customHeight="1" x14ac:dyDescent="0.2">
      <c r="A9" s="172"/>
      <c r="B9" s="172"/>
      <c r="C9" s="82"/>
      <c r="D9" s="82"/>
      <c r="E9" s="173"/>
      <c r="F9" s="173"/>
      <c r="G9" s="173"/>
      <c r="H9" s="174">
        <f>SUBTOTAL(101,'Owners Collection'!$H$3:$H$8)</f>
        <v>0.45228588021174226</v>
      </c>
      <c r="I9" s="173"/>
      <c r="J9" s="174">
        <f>SUBTOTAL(101,'Owners Collection'!$J$3:$J$8)</f>
        <v>0.18756011593035629</v>
      </c>
      <c r="K9" s="82"/>
      <c r="L9" s="82"/>
      <c r="M9" s="82"/>
      <c r="N9" s="175">
        <f>SUM('Owners Collection'!$N$3:$N$8)</f>
        <v>0</v>
      </c>
      <c r="O9" s="24"/>
    </row>
    <row r="10" spans="1:15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.75" customHeight="1" x14ac:dyDescent="0.2"/>
    <row r="12" spans="1:15" ht="15.75" customHeight="1" x14ac:dyDescent="0.2"/>
    <row r="13" spans="1:15" ht="15.75" customHeight="1" x14ac:dyDescent="0.2"/>
    <row r="14" spans="1:15" ht="15.75" customHeight="1" x14ac:dyDescent="0.2"/>
    <row r="15" spans="1:15" ht="15.75" customHeight="1" x14ac:dyDescent="0.2"/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">
    <mergeCell ref="A1:N1"/>
  </mergeCells>
  <conditionalFormatting sqref="A3:A8">
    <cfRule type="cellIs" dxfId="19" priority="1" operator="equal">
      <formula>"250ml"</formula>
    </cfRule>
    <cfRule type="cellIs" dxfId="18" priority="2" operator="equal">
      <formula>"1.5L"</formula>
    </cfRule>
    <cfRule type="cellIs" dxfId="17" priority="3" operator="equal">
      <formula>"1L"</formula>
    </cfRule>
    <cfRule type="cellIs" dxfId="16" priority="4" operator="equal">
      <formula>"750ml"</formula>
    </cfRule>
    <cfRule type="cellIs" dxfId="15" priority="5" operator="equal">
      <formula>"375ml"</formula>
    </cfRule>
    <cfRule type="cellIs" dxfId="14" priority="6" operator="equal">
      <formula>"187ml"</formula>
    </cfRule>
  </conditionalFormatting>
  <conditionalFormatting sqref="B3:B8">
    <cfRule type="cellIs" dxfId="13" priority="7" operator="equal">
      <formula>8.45</formula>
    </cfRule>
    <cfRule type="cellIs" dxfId="12" priority="8" operator="equal">
      <formula>50.72</formula>
    </cfRule>
    <cfRule type="cellIs" dxfId="11" priority="9" operator="equal">
      <formula>33.814</formula>
    </cfRule>
    <cfRule type="cellIs" dxfId="10" priority="10" operator="equal">
      <formula>25.36</formula>
    </cfRule>
    <cfRule type="cellIs" dxfId="9" priority="11" operator="equal">
      <formula>12.68</formula>
    </cfRule>
    <cfRule type="cellIs" dxfId="8" priority="12" operator="equal">
      <formula>$A$2</formula>
    </cfRule>
  </conditionalFormatting>
  <dataValidations count="3">
    <dataValidation type="list" allowBlank="1" showErrorMessage="1" sqref="B3:B8" xr:uid="{00000000-0002-0000-0200-000000000000}">
      <formula1>"6.323,8.45,12.68,25.36,33.814,50.72"</formula1>
    </dataValidation>
    <dataValidation type="list" allowBlank="1" showErrorMessage="1" sqref="A3:A8" xr:uid="{00000000-0002-0000-0200-000001000000}">
      <formula1>"187ml,250ml,375ml,750ml,1L,1.5L"</formula1>
    </dataValidation>
    <dataValidation type="list" allowBlank="1" showErrorMessage="1" sqref="D3:D8" xr:uid="{00000000-0002-0000-0200-000002000000}">
      <formula1>"White,Red,Sparkling"</formula1>
    </dataValidation>
  </dataValidations>
  <printOptions gridLines="1"/>
  <pageMargins left="0.7" right="0.7" top="0.75" bottom="0.75" header="0" footer="0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workbookViewId="0"/>
  </sheetViews>
  <sheetFormatPr defaultColWidth="14.390625" defaultRowHeight="15" customHeight="1" x14ac:dyDescent="0.2"/>
  <cols>
    <col min="1" max="1" width="2.82421875" customWidth="1"/>
    <col min="2" max="2" width="10.4921875" customWidth="1"/>
    <col min="3" max="3" width="13.44921875" customWidth="1"/>
    <col min="4" max="4" width="32.5546875" customWidth="1"/>
    <col min="5" max="5" width="12.10546875" customWidth="1"/>
    <col min="6" max="6" width="8.47265625" customWidth="1"/>
    <col min="7" max="7" width="8.875" customWidth="1"/>
    <col min="8" max="8" width="7.93359375" customWidth="1"/>
    <col min="9" max="9" width="17.08203125" customWidth="1"/>
    <col min="10" max="10" width="16.41015625" customWidth="1"/>
    <col min="11" max="11" width="13.44921875" customWidth="1"/>
    <col min="12" max="12" width="20.3125" customWidth="1"/>
    <col min="13" max="13" width="16.140625" customWidth="1"/>
  </cols>
  <sheetData>
    <row r="1" spans="1:26" ht="36.75" x14ac:dyDescent="0.5">
      <c r="A1" s="355" t="s">
        <v>525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7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spans="1:26" x14ac:dyDescent="0.2">
      <c r="A2" s="176"/>
      <c r="B2" s="177" t="s">
        <v>526</v>
      </c>
      <c r="C2" s="177" t="s">
        <v>443</v>
      </c>
      <c r="D2" s="177" t="s">
        <v>2</v>
      </c>
      <c r="E2" s="178" t="s">
        <v>445</v>
      </c>
      <c r="F2" s="178" t="s">
        <v>527</v>
      </c>
      <c r="G2" s="178" t="s">
        <v>7</v>
      </c>
      <c r="H2" s="179" t="s">
        <v>8</v>
      </c>
      <c r="I2" s="177" t="s">
        <v>9</v>
      </c>
      <c r="J2" s="180" t="s">
        <v>10</v>
      </c>
      <c r="K2" s="177" t="s">
        <v>528</v>
      </c>
      <c r="L2" s="177" t="s">
        <v>12</v>
      </c>
      <c r="M2" s="178" t="s">
        <v>13</v>
      </c>
      <c r="N2" s="177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spans="1:26" x14ac:dyDescent="0.2">
      <c r="A3" s="181"/>
      <c r="B3" s="182" t="s">
        <v>529</v>
      </c>
      <c r="C3" s="182">
        <v>992</v>
      </c>
      <c r="D3" s="182" t="s">
        <v>530</v>
      </c>
      <c r="E3" s="183">
        <v>110</v>
      </c>
      <c r="F3" s="184">
        <f t="shared" ref="F3:F28" si="0">$E3/$C3</f>
        <v>0.11088709677419355</v>
      </c>
      <c r="G3" s="183">
        <v>8</v>
      </c>
      <c r="H3" s="185">
        <f>(Beer!$F3*15)/Beer!$G3</f>
        <v>0.20791330645161291</v>
      </c>
      <c r="I3" s="186"/>
      <c r="J3" s="187"/>
      <c r="K3" s="188">
        <v>1</v>
      </c>
      <c r="L3" s="189">
        <f t="shared" ref="L3:L30" si="1">SUM(I3:K3)</f>
        <v>1</v>
      </c>
      <c r="M3" s="184">
        <f t="shared" ref="M3:M15" si="2">$L3*$E3</f>
        <v>110</v>
      </c>
      <c r="N3" s="189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spans="1:26" x14ac:dyDescent="0.2">
      <c r="A4" s="181"/>
      <c r="B4" s="182" t="s">
        <v>531</v>
      </c>
      <c r="C4" s="182">
        <v>640</v>
      </c>
      <c r="D4" s="190" t="s">
        <v>532</v>
      </c>
      <c r="E4" s="183">
        <v>80</v>
      </c>
      <c r="F4" s="184">
        <f t="shared" si="0"/>
        <v>0.125</v>
      </c>
      <c r="G4" s="183">
        <v>8.5</v>
      </c>
      <c r="H4" s="185">
        <f>(Beer!$F4*15)/Beer!$G4</f>
        <v>0.22058823529411764</v>
      </c>
      <c r="I4" s="186"/>
      <c r="J4" s="187"/>
      <c r="K4" s="188">
        <v>1</v>
      </c>
      <c r="L4" s="189">
        <f t="shared" si="1"/>
        <v>1</v>
      </c>
      <c r="M4" s="184">
        <f t="shared" si="2"/>
        <v>80</v>
      </c>
      <c r="N4" s="189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spans="1:26" x14ac:dyDescent="0.2">
      <c r="A5" s="181"/>
      <c r="B5" s="182" t="s">
        <v>531</v>
      </c>
      <c r="C5" s="182">
        <v>640</v>
      </c>
      <c r="D5" s="182" t="s">
        <v>533</v>
      </c>
      <c r="E5" s="183">
        <v>80</v>
      </c>
      <c r="F5" s="184">
        <f t="shared" si="0"/>
        <v>0.125</v>
      </c>
      <c r="G5" s="183">
        <v>8</v>
      </c>
      <c r="H5" s="185">
        <f>(Beer!$F5*15)/Beer!$G5</f>
        <v>0.234375</v>
      </c>
      <c r="I5" s="186"/>
      <c r="J5" s="187"/>
      <c r="K5" s="188">
        <v>2</v>
      </c>
      <c r="L5" s="189">
        <f t="shared" si="1"/>
        <v>2</v>
      </c>
      <c r="M5" s="184">
        <f t="shared" si="2"/>
        <v>160</v>
      </c>
      <c r="N5" s="189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spans="1:26" x14ac:dyDescent="0.2">
      <c r="A6" s="181"/>
      <c r="B6" s="182" t="s">
        <v>531</v>
      </c>
      <c r="C6" s="182">
        <v>640</v>
      </c>
      <c r="D6" s="182" t="s">
        <v>534</v>
      </c>
      <c r="E6" s="183">
        <v>90</v>
      </c>
      <c r="F6" s="184">
        <f t="shared" si="0"/>
        <v>0.140625</v>
      </c>
      <c r="G6" s="183">
        <v>10</v>
      </c>
      <c r="H6" s="185">
        <f>(Beer!$F6*15)/Beer!$G6</f>
        <v>0.2109375</v>
      </c>
      <c r="I6" s="186"/>
      <c r="J6" s="187"/>
      <c r="K6" s="188">
        <v>1</v>
      </c>
      <c r="L6" s="189">
        <f t="shared" si="1"/>
        <v>1</v>
      </c>
      <c r="M6" s="184">
        <f t="shared" si="2"/>
        <v>90</v>
      </c>
      <c r="N6" s="189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spans="1:26" x14ac:dyDescent="0.2">
      <c r="A7" s="191"/>
      <c r="B7" s="182" t="s">
        <v>535</v>
      </c>
      <c r="C7" s="182">
        <v>12</v>
      </c>
      <c r="D7" s="182" t="s">
        <v>536</v>
      </c>
      <c r="E7" s="192">
        <v>0.88</v>
      </c>
      <c r="F7" s="183">
        <f t="shared" si="0"/>
        <v>7.3333333333333334E-2</v>
      </c>
      <c r="G7" s="183">
        <v>6</v>
      </c>
      <c r="H7" s="193">
        <f>(Beer!$F7*15)/Beer!$G7</f>
        <v>0.18333333333333335</v>
      </c>
      <c r="I7" s="182"/>
      <c r="J7" s="194"/>
      <c r="K7" s="182"/>
      <c r="L7" s="189">
        <f t="shared" si="1"/>
        <v>0</v>
      </c>
      <c r="M7" s="183">
        <f t="shared" si="2"/>
        <v>0</v>
      </c>
      <c r="N7" s="182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spans="1:26" x14ac:dyDescent="0.2">
      <c r="A8" s="191"/>
      <c r="B8" s="182" t="s">
        <v>535</v>
      </c>
      <c r="C8" s="182">
        <v>12</v>
      </c>
      <c r="D8" s="182" t="s">
        <v>537</v>
      </c>
      <c r="E8" s="183">
        <v>1.1499999999999999</v>
      </c>
      <c r="F8" s="183">
        <f t="shared" si="0"/>
        <v>9.5833333333333326E-2</v>
      </c>
      <c r="G8" s="183">
        <v>7</v>
      </c>
      <c r="H8" s="193">
        <f>(Beer!$F8*15)/Beer!$G8</f>
        <v>0.20535714285714285</v>
      </c>
      <c r="I8" s="186"/>
      <c r="J8" s="194"/>
      <c r="K8" s="182"/>
      <c r="L8" s="189">
        <f t="shared" si="1"/>
        <v>0</v>
      </c>
      <c r="M8" s="183">
        <f t="shared" si="2"/>
        <v>0</v>
      </c>
      <c r="N8" s="182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spans="1:26" x14ac:dyDescent="0.2">
      <c r="A9" s="191"/>
      <c r="B9" s="182" t="s">
        <v>535</v>
      </c>
      <c r="C9" s="182">
        <v>12</v>
      </c>
      <c r="D9" s="182" t="s">
        <v>538</v>
      </c>
      <c r="E9" s="183">
        <v>1.19</v>
      </c>
      <c r="F9" s="183">
        <f t="shared" si="0"/>
        <v>9.9166666666666667E-2</v>
      </c>
      <c r="G9" s="183">
        <v>7</v>
      </c>
      <c r="H9" s="193">
        <f>(Beer!$F9*15)/Beer!$G9</f>
        <v>0.21249999999999999</v>
      </c>
      <c r="I9" s="186"/>
      <c r="J9" s="194"/>
      <c r="K9" s="182"/>
      <c r="L9" s="189">
        <f t="shared" si="1"/>
        <v>0</v>
      </c>
      <c r="M9" s="183">
        <f t="shared" si="2"/>
        <v>0</v>
      </c>
      <c r="N9" s="182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spans="1:26" x14ac:dyDescent="0.2">
      <c r="A10" s="191"/>
      <c r="B10" s="182" t="s">
        <v>535</v>
      </c>
      <c r="C10" s="182">
        <v>12</v>
      </c>
      <c r="D10" s="182" t="s">
        <v>539</v>
      </c>
      <c r="E10" s="183">
        <v>1.36</v>
      </c>
      <c r="F10" s="183">
        <f t="shared" si="0"/>
        <v>0.11333333333333334</v>
      </c>
      <c r="G10" s="183">
        <v>7</v>
      </c>
      <c r="H10" s="193">
        <f>(Beer!$F10*15)/Beer!$G10</f>
        <v>0.24285714285714288</v>
      </c>
      <c r="I10" s="186"/>
      <c r="J10" s="194"/>
      <c r="K10" s="182"/>
      <c r="L10" s="189">
        <f t="shared" si="1"/>
        <v>0</v>
      </c>
      <c r="M10" s="183">
        <f t="shared" si="2"/>
        <v>0</v>
      </c>
      <c r="N10" s="182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spans="1:26" x14ac:dyDescent="0.2">
      <c r="A11" s="191"/>
      <c r="B11" s="182" t="s">
        <v>535</v>
      </c>
      <c r="C11" s="182">
        <v>12</v>
      </c>
      <c r="D11" s="182" t="s">
        <v>540</v>
      </c>
      <c r="E11" s="183">
        <v>1.03</v>
      </c>
      <c r="F11" s="183">
        <f t="shared" si="0"/>
        <v>8.5833333333333331E-2</v>
      </c>
      <c r="G11" s="183">
        <v>7</v>
      </c>
      <c r="H11" s="193">
        <f>(Beer!$F11*15)/Beer!$G11</f>
        <v>0.18392857142857141</v>
      </c>
      <c r="I11" s="186"/>
      <c r="J11" s="194"/>
      <c r="K11" s="182"/>
      <c r="L11" s="189">
        <f t="shared" si="1"/>
        <v>0</v>
      </c>
      <c r="M11" s="183">
        <f t="shared" si="2"/>
        <v>0</v>
      </c>
      <c r="N11" s="182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spans="1:26" x14ac:dyDescent="0.2">
      <c r="A12" s="191"/>
      <c r="B12" s="182" t="s">
        <v>535</v>
      </c>
      <c r="C12" s="182">
        <v>12</v>
      </c>
      <c r="D12" s="182" t="s">
        <v>541</v>
      </c>
      <c r="E12" s="195">
        <v>1.04</v>
      </c>
      <c r="F12" s="183">
        <f t="shared" si="0"/>
        <v>8.666666666666667E-2</v>
      </c>
      <c r="G12" s="183">
        <v>6</v>
      </c>
      <c r="H12" s="193">
        <f>(Beer!$F12*15)/Beer!$G12</f>
        <v>0.21666666666666667</v>
      </c>
      <c r="I12" s="186"/>
      <c r="J12" s="194"/>
      <c r="K12" s="182"/>
      <c r="L12" s="189">
        <f t="shared" si="1"/>
        <v>0</v>
      </c>
      <c r="M12" s="183">
        <f t="shared" si="2"/>
        <v>0</v>
      </c>
      <c r="N12" s="182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spans="1:26" x14ac:dyDescent="0.2">
      <c r="A13" s="191"/>
      <c r="B13" s="182" t="s">
        <v>535</v>
      </c>
      <c r="C13" s="182">
        <v>12</v>
      </c>
      <c r="D13" s="182" t="s">
        <v>542</v>
      </c>
      <c r="E13" s="195">
        <v>1.6</v>
      </c>
      <c r="F13" s="183">
        <f t="shared" si="0"/>
        <v>0.13333333333333333</v>
      </c>
      <c r="G13" s="183">
        <v>8</v>
      </c>
      <c r="H13" s="193">
        <f>(Beer!$F13*15)/Beer!$G13</f>
        <v>0.25</v>
      </c>
      <c r="I13" s="186"/>
      <c r="J13" s="194"/>
      <c r="K13" s="182"/>
      <c r="L13" s="189">
        <f t="shared" si="1"/>
        <v>0</v>
      </c>
      <c r="M13" s="183">
        <f t="shared" si="2"/>
        <v>0</v>
      </c>
      <c r="N13" s="182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spans="1:26" x14ac:dyDescent="0.2">
      <c r="A14" s="191"/>
      <c r="B14" s="182" t="s">
        <v>535</v>
      </c>
      <c r="C14" s="182">
        <v>12</v>
      </c>
      <c r="D14" s="182" t="s">
        <v>543</v>
      </c>
      <c r="E14" s="183">
        <v>1.1299999999999999</v>
      </c>
      <c r="F14" s="183">
        <f t="shared" si="0"/>
        <v>9.4166666666666662E-2</v>
      </c>
      <c r="G14" s="183">
        <v>6</v>
      </c>
      <c r="H14" s="193">
        <f>(Beer!$F14*15)/Beer!$G14</f>
        <v>0.23541666666666664</v>
      </c>
      <c r="I14" s="182"/>
      <c r="J14" s="194"/>
      <c r="K14" s="182"/>
      <c r="L14" s="189">
        <f t="shared" si="1"/>
        <v>0</v>
      </c>
      <c r="M14" s="183">
        <f t="shared" si="2"/>
        <v>0</v>
      </c>
      <c r="N14" s="182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spans="1:26" x14ac:dyDescent="0.2">
      <c r="A15" s="191"/>
      <c r="B15" s="182" t="s">
        <v>535</v>
      </c>
      <c r="C15" s="182">
        <v>12</v>
      </c>
      <c r="D15" s="182" t="s">
        <v>544</v>
      </c>
      <c r="E15" s="183">
        <v>1.38</v>
      </c>
      <c r="F15" s="183">
        <f t="shared" si="0"/>
        <v>0.11499999999999999</v>
      </c>
      <c r="G15" s="196">
        <v>6</v>
      </c>
      <c r="H15" s="193">
        <f>(Beer!$F15*15)/Beer!$G15</f>
        <v>0.28749999999999998</v>
      </c>
      <c r="I15" s="186"/>
      <c r="J15" s="194"/>
      <c r="K15" s="182"/>
      <c r="L15" s="189">
        <f t="shared" si="1"/>
        <v>0</v>
      </c>
      <c r="M15" s="183">
        <f t="shared" si="2"/>
        <v>0</v>
      </c>
      <c r="N15" s="182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spans="1:26" ht="15.75" customHeight="1" x14ac:dyDescent="0.2">
      <c r="A16" s="191"/>
      <c r="B16" s="182" t="s">
        <v>535</v>
      </c>
      <c r="C16" s="182">
        <v>12</v>
      </c>
      <c r="D16" s="182" t="s">
        <v>545</v>
      </c>
      <c r="E16" s="195">
        <v>1.38</v>
      </c>
      <c r="F16" s="183">
        <f t="shared" si="0"/>
        <v>0.11499999999999999</v>
      </c>
      <c r="G16" s="196">
        <v>6</v>
      </c>
      <c r="H16" s="193">
        <f>(Beer!$F16*15)/Beer!$G16</f>
        <v>0.28749999999999998</v>
      </c>
      <c r="I16" s="182"/>
      <c r="J16" s="194"/>
      <c r="K16" s="182"/>
      <c r="L16" s="189">
        <f t="shared" si="1"/>
        <v>0</v>
      </c>
      <c r="M16" s="183">
        <f>$L16*$E15</f>
        <v>0</v>
      </c>
      <c r="N16" s="182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spans="1:26" ht="15.75" customHeight="1" x14ac:dyDescent="0.2">
      <c r="A17" s="191"/>
      <c r="B17" s="182" t="s">
        <v>535</v>
      </c>
      <c r="C17" s="182">
        <v>12</v>
      </c>
      <c r="D17" s="182" t="s">
        <v>534</v>
      </c>
      <c r="E17" s="183">
        <v>2.6</v>
      </c>
      <c r="F17" s="183">
        <f t="shared" si="0"/>
        <v>0.21666666666666667</v>
      </c>
      <c r="G17" s="196">
        <v>10</v>
      </c>
      <c r="H17" s="193">
        <f>(Beer!$F17*15)/Beer!$G17</f>
        <v>0.32500000000000001</v>
      </c>
      <c r="I17" s="186"/>
      <c r="J17" s="187"/>
      <c r="K17" s="186"/>
      <c r="L17" s="189">
        <f t="shared" si="1"/>
        <v>0</v>
      </c>
      <c r="M17" s="183">
        <f t="shared" ref="M17:M30" si="3">$L17*$E17</f>
        <v>0</v>
      </c>
      <c r="N17" s="182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spans="1:26" ht="15.75" customHeight="1" x14ac:dyDescent="0.2">
      <c r="A18" s="191"/>
      <c r="B18" s="182" t="s">
        <v>535</v>
      </c>
      <c r="C18" s="182">
        <v>16</v>
      </c>
      <c r="D18" s="182" t="s">
        <v>546</v>
      </c>
      <c r="E18" s="183">
        <v>3.75</v>
      </c>
      <c r="F18" s="183">
        <f t="shared" si="0"/>
        <v>0.234375</v>
      </c>
      <c r="G18" s="196">
        <v>8.5</v>
      </c>
      <c r="H18" s="193">
        <f>(Beer!$F18*15)/Beer!$G18</f>
        <v>0.41360294117647056</v>
      </c>
      <c r="I18" s="186"/>
      <c r="J18" s="187"/>
      <c r="K18" s="186"/>
      <c r="L18" s="189">
        <f t="shared" si="1"/>
        <v>0</v>
      </c>
      <c r="M18" s="183">
        <f t="shared" si="3"/>
        <v>0</v>
      </c>
      <c r="N18" s="182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spans="1:26" ht="15.75" customHeight="1" x14ac:dyDescent="0.2">
      <c r="A19" s="191"/>
      <c r="B19" s="182" t="s">
        <v>535</v>
      </c>
      <c r="C19" s="182">
        <v>16</v>
      </c>
      <c r="D19" s="182" t="s">
        <v>547</v>
      </c>
      <c r="E19" s="183">
        <v>3.75</v>
      </c>
      <c r="F19" s="183">
        <f t="shared" si="0"/>
        <v>0.234375</v>
      </c>
      <c r="G19" s="196">
        <v>8.5</v>
      </c>
      <c r="H19" s="193">
        <f>(Beer!$F19*15)/Beer!$G19</f>
        <v>0.41360294117647056</v>
      </c>
      <c r="I19" s="186"/>
      <c r="J19" s="187"/>
      <c r="K19" s="186"/>
      <c r="L19" s="189">
        <f t="shared" si="1"/>
        <v>0</v>
      </c>
      <c r="M19" s="183">
        <f t="shared" si="3"/>
        <v>0</v>
      </c>
      <c r="N19" s="182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spans="1:26" ht="15.75" customHeight="1" x14ac:dyDescent="0.2">
      <c r="A20" s="191"/>
      <c r="B20" s="182" t="s">
        <v>535</v>
      </c>
      <c r="C20" s="182">
        <v>16</v>
      </c>
      <c r="D20" s="182" t="s">
        <v>548</v>
      </c>
      <c r="E20" s="183">
        <v>4.58</v>
      </c>
      <c r="F20" s="183">
        <f t="shared" si="0"/>
        <v>0.28625</v>
      </c>
      <c r="G20" s="196">
        <v>10</v>
      </c>
      <c r="H20" s="193">
        <f>(Beer!$F20*15)/Beer!$G20</f>
        <v>0.42937500000000001</v>
      </c>
      <c r="I20" s="186"/>
      <c r="J20" s="187"/>
      <c r="K20" s="186"/>
      <c r="L20" s="189">
        <f t="shared" si="1"/>
        <v>0</v>
      </c>
      <c r="M20" s="183">
        <f t="shared" si="3"/>
        <v>0</v>
      </c>
      <c r="N20" s="182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spans="1:26" ht="15.75" customHeight="1" x14ac:dyDescent="0.2">
      <c r="A21" s="191"/>
      <c r="B21" s="182" t="s">
        <v>535</v>
      </c>
      <c r="C21" s="182">
        <v>12</v>
      </c>
      <c r="D21" s="182" t="s">
        <v>549</v>
      </c>
      <c r="E21" s="183">
        <v>1.91</v>
      </c>
      <c r="F21" s="183">
        <f t="shared" si="0"/>
        <v>0.15916666666666665</v>
      </c>
      <c r="G21" s="196">
        <v>10</v>
      </c>
      <c r="H21" s="193">
        <f>(Beer!$F21*15)/Beer!$G21</f>
        <v>0.23874999999999996</v>
      </c>
      <c r="I21" s="186"/>
      <c r="J21" s="187"/>
      <c r="K21" s="186"/>
      <c r="L21" s="189">
        <f t="shared" si="1"/>
        <v>0</v>
      </c>
      <c r="M21" s="183">
        <f t="shared" si="3"/>
        <v>0</v>
      </c>
      <c r="N21" s="182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spans="1:26" ht="15.75" customHeight="1" x14ac:dyDescent="0.2">
      <c r="A22" s="191"/>
      <c r="B22" s="182" t="s">
        <v>550</v>
      </c>
      <c r="C22" s="182">
        <v>12</v>
      </c>
      <c r="D22" s="182" t="s">
        <v>551</v>
      </c>
      <c r="E22" s="183">
        <v>1.5</v>
      </c>
      <c r="F22" s="183">
        <f t="shared" si="0"/>
        <v>0.125</v>
      </c>
      <c r="G22" s="183">
        <v>7</v>
      </c>
      <c r="H22" s="193">
        <f>(Beer!$F22*15)/Beer!$G22</f>
        <v>0.26785714285714285</v>
      </c>
      <c r="I22" s="182"/>
      <c r="J22" s="187"/>
      <c r="K22" s="182"/>
      <c r="L22" s="189">
        <f t="shared" si="1"/>
        <v>0</v>
      </c>
      <c r="M22" s="183">
        <f t="shared" si="3"/>
        <v>0</v>
      </c>
      <c r="N22" s="182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spans="1:26" ht="15.75" customHeight="1" x14ac:dyDescent="0.2">
      <c r="A23" s="181"/>
      <c r="B23" s="182" t="s">
        <v>550</v>
      </c>
      <c r="C23" s="182">
        <v>12</v>
      </c>
      <c r="D23" s="182" t="s">
        <v>536</v>
      </c>
      <c r="E23" s="192">
        <v>0.93</v>
      </c>
      <c r="F23" s="183">
        <f t="shared" si="0"/>
        <v>7.7499999999999999E-2</v>
      </c>
      <c r="G23" s="183">
        <v>6</v>
      </c>
      <c r="H23" s="193">
        <f>(Beer!$F23*15)/Beer!$G23</f>
        <v>0.19375000000000001</v>
      </c>
      <c r="I23" s="186"/>
      <c r="J23" s="187"/>
      <c r="K23" s="182"/>
      <c r="L23" s="189">
        <f t="shared" si="1"/>
        <v>0</v>
      </c>
      <c r="M23" s="183">
        <f t="shared" si="3"/>
        <v>0</v>
      </c>
      <c r="N23" s="182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spans="1:26" ht="15.75" customHeight="1" x14ac:dyDescent="0.2">
      <c r="A24" s="181"/>
      <c r="B24" s="182" t="s">
        <v>550</v>
      </c>
      <c r="C24" s="182">
        <v>12</v>
      </c>
      <c r="D24" s="182" t="s">
        <v>552</v>
      </c>
      <c r="E24" s="192">
        <v>1.44</v>
      </c>
      <c r="F24" s="183">
        <f t="shared" si="0"/>
        <v>0.12</v>
      </c>
      <c r="G24" s="183">
        <v>7</v>
      </c>
      <c r="H24" s="193">
        <f>(Beer!$F24*15)/Beer!$G24</f>
        <v>0.25714285714285712</v>
      </c>
      <c r="I24" s="186"/>
      <c r="J24" s="187"/>
      <c r="K24" s="182"/>
      <c r="L24" s="189">
        <f t="shared" si="1"/>
        <v>0</v>
      </c>
      <c r="M24" s="183">
        <f t="shared" si="3"/>
        <v>0</v>
      </c>
      <c r="N24" s="182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spans="1:26" ht="15.75" customHeight="1" x14ac:dyDescent="0.2">
      <c r="A25" s="176"/>
      <c r="B25" s="197" t="s">
        <v>550</v>
      </c>
      <c r="C25" s="189">
        <v>12</v>
      </c>
      <c r="D25" s="187" t="s">
        <v>540</v>
      </c>
      <c r="E25" s="198">
        <v>1.04</v>
      </c>
      <c r="F25" s="184">
        <f t="shared" si="0"/>
        <v>8.666666666666667E-2</v>
      </c>
      <c r="G25" s="184">
        <v>7</v>
      </c>
      <c r="H25" s="185">
        <f>(Beer!$F25*15)/Beer!$G25</f>
        <v>0.18571428571428572</v>
      </c>
      <c r="I25" s="199"/>
      <c r="J25" s="187"/>
      <c r="K25" s="189"/>
      <c r="L25" s="189">
        <f t="shared" si="1"/>
        <v>0</v>
      </c>
      <c r="M25" s="184">
        <f t="shared" si="3"/>
        <v>0</v>
      </c>
      <c r="N25" s="189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spans="1:26" ht="15.75" customHeight="1" x14ac:dyDescent="0.2">
      <c r="A26" s="176"/>
      <c r="B26" s="182" t="s">
        <v>550</v>
      </c>
      <c r="C26" s="182">
        <v>12</v>
      </c>
      <c r="D26" s="182" t="s">
        <v>543</v>
      </c>
      <c r="E26" s="192">
        <v>1.26</v>
      </c>
      <c r="F26" s="183">
        <f t="shared" si="0"/>
        <v>0.105</v>
      </c>
      <c r="G26" s="196">
        <v>7</v>
      </c>
      <c r="H26" s="193">
        <f>(Beer!$F26*15)/Beer!$G26</f>
        <v>0.22500000000000001</v>
      </c>
      <c r="I26" s="186"/>
      <c r="J26" s="187"/>
      <c r="K26" s="182"/>
      <c r="L26" s="189">
        <f t="shared" si="1"/>
        <v>0</v>
      </c>
      <c r="M26" s="183">
        <f t="shared" si="3"/>
        <v>0</v>
      </c>
      <c r="N26" s="182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spans="1:26" ht="15.75" customHeight="1" x14ac:dyDescent="0.2">
      <c r="A27" s="176"/>
      <c r="B27" s="182" t="s">
        <v>550</v>
      </c>
      <c r="C27" s="182">
        <v>12</v>
      </c>
      <c r="D27" s="182" t="s">
        <v>539</v>
      </c>
      <c r="E27" s="183">
        <v>1.37</v>
      </c>
      <c r="F27" s="183">
        <f t="shared" si="0"/>
        <v>0.11416666666666668</v>
      </c>
      <c r="G27" s="183">
        <v>7</v>
      </c>
      <c r="H27" s="193">
        <f>(Beer!$F27*15)/Beer!$G27</f>
        <v>0.24464285714285716</v>
      </c>
      <c r="I27" s="186"/>
      <c r="J27" s="187"/>
      <c r="K27" s="182"/>
      <c r="L27" s="189">
        <f t="shared" si="1"/>
        <v>0</v>
      </c>
      <c r="M27" s="183">
        <f t="shared" si="3"/>
        <v>0</v>
      </c>
      <c r="N27" s="182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spans="1:26" ht="15.75" customHeight="1" x14ac:dyDescent="0.2">
      <c r="A28" s="176"/>
      <c r="B28" s="182" t="s">
        <v>550</v>
      </c>
      <c r="C28" s="182">
        <v>12</v>
      </c>
      <c r="D28" s="182" t="s">
        <v>538</v>
      </c>
      <c r="E28" s="183">
        <v>1.55</v>
      </c>
      <c r="F28" s="183">
        <f t="shared" si="0"/>
        <v>0.12916666666666668</v>
      </c>
      <c r="G28" s="183">
        <v>7</v>
      </c>
      <c r="H28" s="193">
        <f>(Beer!$F28*15)/Beer!$G28</f>
        <v>0.2767857142857143</v>
      </c>
      <c r="I28" s="186"/>
      <c r="J28" s="187"/>
      <c r="K28" s="182"/>
      <c r="L28" s="189">
        <f t="shared" si="1"/>
        <v>0</v>
      </c>
      <c r="M28" s="183">
        <f t="shared" si="3"/>
        <v>0</v>
      </c>
      <c r="N28" s="182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spans="1:26" ht="15.75" customHeight="1" x14ac:dyDescent="0.2">
      <c r="A29" s="176"/>
      <c r="B29" s="182" t="s">
        <v>550</v>
      </c>
      <c r="C29" s="182">
        <v>12</v>
      </c>
      <c r="D29" s="182" t="s">
        <v>553</v>
      </c>
      <c r="E29" s="183">
        <v>50</v>
      </c>
      <c r="F29" s="183"/>
      <c r="G29" s="183"/>
      <c r="H29" s="193"/>
      <c r="I29" s="182"/>
      <c r="J29" s="187"/>
      <c r="K29" s="190">
        <v>15</v>
      </c>
      <c r="L29" s="189">
        <f t="shared" si="1"/>
        <v>15</v>
      </c>
      <c r="M29" s="183">
        <f t="shared" si="3"/>
        <v>750</v>
      </c>
      <c r="N29" s="182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spans="1:26" ht="15.75" customHeight="1" x14ac:dyDescent="0.2">
      <c r="A30" s="176"/>
      <c r="B30" s="182" t="s">
        <v>550</v>
      </c>
      <c r="C30" s="182">
        <v>12</v>
      </c>
      <c r="D30" s="182" t="s">
        <v>554</v>
      </c>
      <c r="E30" s="183">
        <v>30</v>
      </c>
      <c r="F30" s="183"/>
      <c r="G30" s="183"/>
      <c r="H30" s="193"/>
      <c r="I30" s="182"/>
      <c r="J30" s="187"/>
      <c r="K30" s="190">
        <v>1</v>
      </c>
      <c r="L30" s="189">
        <f t="shared" si="1"/>
        <v>1</v>
      </c>
      <c r="M30" s="183">
        <f t="shared" si="3"/>
        <v>30</v>
      </c>
      <c r="N30" s="182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spans="1:26" ht="15.75" customHeight="1" x14ac:dyDescent="0.2">
      <c r="A31" s="176"/>
      <c r="B31" s="182"/>
      <c r="C31" s="182"/>
      <c r="D31" s="182"/>
      <c r="E31" s="183"/>
      <c r="F31" s="183"/>
      <c r="G31" s="183"/>
      <c r="H31" s="193"/>
      <c r="I31" s="182"/>
      <c r="J31" s="187"/>
      <c r="K31" s="182"/>
      <c r="L31" s="182"/>
      <c r="M31" s="183"/>
      <c r="N31" s="182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spans="1:26" ht="15.75" customHeight="1" x14ac:dyDescent="0.2">
      <c r="A32" s="176"/>
      <c r="B32" s="200"/>
      <c r="C32" s="200"/>
      <c r="D32" s="201"/>
      <c r="E32" s="202"/>
      <c r="F32" s="202"/>
      <c r="G32" s="202"/>
      <c r="H32" s="203">
        <f>SUBTOTAL(101,Beer!$H$4:$H$30)</f>
        <v>0.25768735994397757</v>
      </c>
      <c r="I32" s="201"/>
      <c r="J32" s="201"/>
      <c r="K32" s="201"/>
      <c r="L32" s="201"/>
      <c r="M32" s="204">
        <f>SUM(M3:M31)</f>
        <v>1220</v>
      </c>
      <c r="N32" s="205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spans="1:26" ht="15.75" customHeight="1" x14ac:dyDescent="0.2">
      <c r="A33" s="176"/>
      <c r="B33" s="200"/>
      <c r="C33" s="200"/>
      <c r="D33" s="201"/>
      <c r="E33" s="202"/>
      <c r="F33" s="202"/>
      <c r="G33" s="202"/>
      <c r="H33" s="203"/>
      <c r="I33" s="201"/>
      <c r="J33" s="201"/>
      <c r="K33" s="201"/>
      <c r="L33" s="201"/>
      <c r="M33" s="204"/>
      <c r="N33" s="205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spans="1:26" ht="15.75" customHeight="1" x14ac:dyDescent="0.2">
      <c r="A34" s="176"/>
      <c r="B34" s="200"/>
      <c r="C34" s="200"/>
      <c r="D34" s="201"/>
      <c r="E34" s="202"/>
      <c r="F34" s="202"/>
      <c r="G34" s="202"/>
      <c r="H34" s="203"/>
      <c r="I34" s="201"/>
      <c r="J34" s="201"/>
      <c r="K34" s="201"/>
      <c r="L34" s="201"/>
      <c r="M34" s="204"/>
      <c r="N34" s="205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spans="1:26" ht="15.75" customHeight="1" x14ac:dyDescent="0.2">
      <c r="A35" s="176"/>
      <c r="B35" s="200"/>
      <c r="C35" s="200"/>
      <c r="D35" s="201"/>
      <c r="E35" s="202"/>
      <c r="F35" s="202"/>
      <c r="G35" s="202"/>
      <c r="H35" s="203"/>
      <c r="I35" s="201"/>
      <c r="J35" s="201"/>
      <c r="K35" s="201"/>
      <c r="L35" s="201"/>
      <c r="M35" s="204"/>
      <c r="N35" s="205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spans="1:26" ht="15.75" customHeight="1" x14ac:dyDescent="0.2">
      <c r="A36" s="176"/>
      <c r="B36" s="176"/>
      <c r="C36" s="176"/>
      <c r="D36" s="176"/>
      <c r="E36" s="206"/>
      <c r="F36" s="206"/>
      <c r="G36" s="206"/>
      <c r="H36" s="207"/>
      <c r="I36" s="176"/>
      <c r="J36" s="208"/>
      <c r="K36" s="176"/>
      <c r="L36" s="176"/>
      <c r="M36" s="20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spans="1:26" ht="15.75" customHeight="1" x14ac:dyDescent="0.2">
      <c r="A37" s="176"/>
      <c r="B37" s="176"/>
      <c r="C37" s="176"/>
      <c r="D37" s="176"/>
      <c r="E37" s="206"/>
      <c r="F37" s="206"/>
      <c r="G37" s="206"/>
      <c r="H37" s="207"/>
      <c r="I37" s="176"/>
      <c r="J37" s="208"/>
      <c r="K37" s="176"/>
      <c r="L37" s="176"/>
      <c r="M37" s="20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spans="1:26" ht="15.75" customHeight="1" x14ac:dyDescent="0.2">
      <c r="A38" s="176"/>
      <c r="B38" s="176"/>
      <c r="C38" s="176"/>
      <c r="D38" s="176"/>
      <c r="E38" s="206"/>
      <c r="F38" s="206"/>
      <c r="G38" s="206"/>
      <c r="H38" s="207"/>
      <c r="I38" s="176"/>
      <c r="J38" s="208"/>
      <c r="K38" s="176"/>
      <c r="L38" s="176"/>
      <c r="M38" s="20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spans="1:26" ht="15.75" customHeight="1" x14ac:dyDescent="0.2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spans="1:26" ht="15.75" customHeight="1" x14ac:dyDescent="0.2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spans="1:26" ht="15.75" customHeight="1" x14ac:dyDescent="0.2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spans="1:26" ht="15.75" customHeight="1" x14ac:dyDescent="0.2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spans="1:26" ht="15.75" customHeight="1" x14ac:dyDescent="0.2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spans="1:26" ht="15.75" customHeight="1" x14ac:dyDescent="0.2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spans="1:26" ht="15.75" customHeight="1" x14ac:dyDescent="0.2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spans="1:26" ht="15.75" customHeight="1" x14ac:dyDescent="0.2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spans="1:26" ht="15.75" customHeight="1" x14ac:dyDescent="0.2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spans="1:26" ht="15.75" customHeight="1" x14ac:dyDescent="0.2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spans="1:26" ht="15.75" customHeight="1" x14ac:dyDescent="0.2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spans="1:26" ht="15.75" customHeight="1" x14ac:dyDescent="0.2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spans="1:26" ht="15.75" customHeight="1" x14ac:dyDescent="0.2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spans="1:26" ht="15.75" customHeight="1" x14ac:dyDescent="0.2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15.75" customHeight="1" x14ac:dyDescent="0.2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spans="1:26" ht="15.75" customHeight="1" x14ac:dyDescent="0.2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spans="1:26" ht="15.75" customHeight="1" x14ac:dyDescent="0.2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spans="1:26" ht="15.75" customHeight="1" x14ac:dyDescent="0.2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spans="1:26" ht="15.75" customHeight="1" x14ac:dyDescent="0.2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spans="1:26" ht="15.75" customHeight="1" x14ac:dyDescent="0.2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spans="1:26" ht="15.75" customHeight="1" x14ac:dyDescent="0.2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spans="1:26" ht="15.75" customHeight="1" x14ac:dyDescent="0.2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spans="1:26" ht="15.75" customHeight="1" x14ac:dyDescent="0.2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spans="1:26" ht="15.75" customHeight="1" x14ac:dyDescent="0.2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spans="1:26" ht="15.75" customHeight="1" x14ac:dyDescent="0.2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spans="1:26" ht="15.75" customHeight="1" x14ac:dyDescent="0.2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spans="1:26" ht="15.75" customHeight="1" x14ac:dyDescent="0.2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spans="1:26" ht="15.75" customHeight="1" x14ac:dyDescent="0.2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spans="1:26" ht="15.75" customHeight="1" x14ac:dyDescent="0.2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spans="1:26" ht="15.75" customHeight="1" x14ac:dyDescent="0.2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spans="1:26" ht="15.75" customHeight="1" x14ac:dyDescent="0.2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spans="1:26" ht="15.75" customHeight="1" x14ac:dyDescent="0.2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spans="1:26" ht="15.75" customHeight="1" x14ac:dyDescent="0.2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spans="1:26" ht="15.75" customHeight="1" x14ac:dyDescent="0.2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spans="1:26" ht="15.75" customHeight="1" x14ac:dyDescent="0.2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spans="1:26" ht="15.75" customHeight="1" x14ac:dyDescent="0.2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spans="1:26" ht="15.75" customHeight="1" x14ac:dyDescent="0.2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spans="1:26" ht="15.75" customHeight="1" x14ac:dyDescent="0.2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spans="1:26" ht="15.75" customHeight="1" x14ac:dyDescent="0.2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spans="1:26" ht="15.75" customHeight="1" x14ac:dyDescent="0.2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spans="1:26" ht="15.75" customHeight="1" x14ac:dyDescent="0.2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spans="1:26" ht="15.75" customHeight="1" x14ac:dyDescent="0.2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spans="1:26" ht="15.75" customHeight="1" x14ac:dyDescent="0.2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spans="1:26" ht="15.75" customHeight="1" x14ac:dyDescent="0.2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spans="1:26" ht="15.75" customHeight="1" x14ac:dyDescent="0.2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spans="1:26" ht="15.75" customHeight="1" x14ac:dyDescent="0.2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spans="1:26" ht="15.75" customHeight="1" x14ac:dyDescent="0.2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spans="1:26" ht="15.75" customHeight="1" x14ac:dyDescent="0.2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spans="1:26" ht="15.75" customHeight="1" x14ac:dyDescent="0.2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spans="1:26" ht="15.75" customHeight="1" x14ac:dyDescent="0.2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spans="1:26" ht="15.75" customHeight="1" x14ac:dyDescent="0.2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spans="1:26" ht="15.75" customHeight="1" x14ac:dyDescent="0.2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spans="1:26" ht="15.75" customHeight="1" x14ac:dyDescent="0.2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spans="1:26" ht="15.75" customHeight="1" x14ac:dyDescent="0.2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spans="1:26" ht="15.75" customHeight="1" x14ac:dyDescent="0.2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spans="1:26" ht="15.75" customHeight="1" x14ac:dyDescent="0.2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spans="1:26" ht="15.75" customHeight="1" x14ac:dyDescent="0.2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spans="1:26" ht="15.75" customHeight="1" x14ac:dyDescent="0.2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spans="1:26" ht="15.75" customHeight="1" x14ac:dyDescent="0.2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spans="1:26" ht="15.75" customHeight="1" x14ac:dyDescent="0.2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spans="1:26" ht="15.75" customHeight="1" x14ac:dyDescent="0.2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spans="1:26" ht="15.75" customHeight="1" x14ac:dyDescent="0.2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spans="1:26" ht="15.75" customHeight="1" x14ac:dyDescent="0.2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spans="1:26" ht="15.75" customHeight="1" x14ac:dyDescent="0.2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spans="1:26" ht="15.75" customHeight="1" x14ac:dyDescent="0.2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spans="1:26" ht="15.75" customHeight="1" x14ac:dyDescent="0.2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spans="1:26" ht="15.75" customHeight="1" x14ac:dyDescent="0.2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spans="1:26" ht="15.75" customHeight="1" x14ac:dyDescent="0.2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spans="1:26" ht="15.75" customHeight="1" x14ac:dyDescent="0.2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spans="1:26" ht="15.75" customHeight="1" x14ac:dyDescent="0.2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spans="1:26" ht="15.75" customHeight="1" x14ac:dyDescent="0.2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spans="1:26" ht="15.75" customHeight="1" x14ac:dyDescent="0.2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spans="1:26" ht="15.75" customHeight="1" x14ac:dyDescent="0.2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spans="1:26" ht="15.75" customHeight="1" x14ac:dyDescent="0.2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spans="1:26" ht="15.75" customHeight="1" x14ac:dyDescent="0.2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spans="1:26" ht="15.75" customHeight="1" x14ac:dyDescent="0.2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spans="1:26" ht="15.75" customHeight="1" x14ac:dyDescent="0.2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spans="1:26" ht="15.75" customHeight="1" x14ac:dyDescent="0.2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spans="1:26" ht="15.75" customHeight="1" x14ac:dyDescent="0.2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spans="1:26" ht="15.75" customHeight="1" x14ac:dyDescent="0.2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spans="1:26" ht="15.75" customHeight="1" x14ac:dyDescent="0.2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spans="1:26" ht="15.75" customHeight="1" x14ac:dyDescent="0.2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spans="1:26" ht="15.75" customHeight="1" x14ac:dyDescent="0.2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spans="1:26" ht="15.75" customHeight="1" x14ac:dyDescent="0.2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spans="1:26" ht="15.75" customHeight="1" x14ac:dyDescent="0.2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spans="1:26" ht="15.75" customHeight="1" x14ac:dyDescent="0.2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spans="1:26" ht="15.75" customHeight="1" x14ac:dyDescent="0.2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spans="1:26" ht="15.75" customHeight="1" x14ac:dyDescent="0.2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spans="1:26" ht="15.75" customHeight="1" x14ac:dyDescent="0.2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spans="1:26" ht="15.75" customHeight="1" x14ac:dyDescent="0.2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spans="1:26" ht="15.75" customHeight="1" x14ac:dyDescent="0.2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spans="1:26" ht="15.75" customHeight="1" x14ac:dyDescent="0.2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spans="1:26" ht="15.75" customHeight="1" x14ac:dyDescent="0.2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spans="1:26" ht="15.75" customHeight="1" x14ac:dyDescent="0.2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spans="1:26" ht="15.75" customHeight="1" x14ac:dyDescent="0.2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spans="1:26" ht="15.75" customHeight="1" x14ac:dyDescent="0.2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spans="1:26" ht="15.75" customHeight="1" x14ac:dyDescent="0.2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spans="1:26" ht="15.75" customHeight="1" x14ac:dyDescent="0.2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spans="1:26" ht="15.75" customHeight="1" x14ac:dyDescent="0.2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spans="1:26" ht="15.75" customHeight="1" x14ac:dyDescent="0.2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spans="1:26" ht="15.75" customHeight="1" x14ac:dyDescent="0.2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spans="1:26" ht="15.75" customHeight="1" x14ac:dyDescent="0.2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spans="1:26" ht="15.75" customHeight="1" x14ac:dyDescent="0.2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spans="1:26" ht="15.75" customHeight="1" x14ac:dyDescent="0.2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spans="1:26" ht="15.75" customHeight="1" x14ac:dyDescent="0.2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spans="1:26" ht="15.75" customHeight="1" x14ac:dyDescent="0.2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spans="1:26" ht="15.75" customHeight="1" x14ac:dyDescent="0.2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spans="1:26" ht="15.75" customHeight="1" x14ac:dyDescent="0.2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spans="1:26" ht="15.75" customHeight="1" x14ac:dyDescent="0.2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spans="1:26" ht="15.75" customHeight="1" x14ac:dyDescent="0.2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spans="1:26" ht="15.75" customHeight="1" x14ac:dyDescent="0.2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spans="1:26" ht="15.75" customHeight="1" x14ac:dyDescent="0.2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spans="1:26" ht="15.75" customHeight="1" x14ac:dyDescent="0.2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spans="1:26" ht="15.75" customHeight="1" x14ac:dyDescent="0.2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spans="1:26" ht="15.75" customHeight="1" x14ac:dyDescent="0.2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spans="1:26" ht="15.75" customHeight="1" x14ac:dyDescent="0.2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spans="1:26" ht="15.75" customHeight="1" x14ac:dyDescent="0.2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spans="1:26" ht="15.75" customHeight="1" x14ac:dyDescent="0.2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spans="1:26" ht="15.75" customHeight="1" x14ac:dyDescent="0.2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spans="1:26" ht="15.75" customHeight="1" x14ac:dyDescent="0.2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spans="1:26" ht="15.75" customHeight="1" x14ac:dyDescent="0.2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spans="1:26" ht="15.75" customHeight="1" x14ac:dyDescent="0.2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spans="1:26" ht="15.75" customHeight="1" x14ac:dyDescent="0.2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spans="1:26" ht="15.75" customHeight="1" x14ac:dyDescent="0.2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spans="1:26" ht="15.75" customHeight="1" x14ac:dyDescent="0.2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spans="1:26" ht="15.75" customHeight="1" x14ac:dyDescent="0.2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spans="1:26" ht="15.75" customHeight="1" x14ac:dyDescent="0.2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spans="1:26" ht="15.75" customHeight="1" x14ac:dyDescent="0.2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spans="1:26" ht="15.75" customHeight="1" x14ac:dyDescent="0.2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spans="1:26" ht="15.75" customHeight="1" x14ac:dyDescent="0.2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spans="1:26" ht="15.75" customHeight="1" x14ac:dyDescent="0.2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spans="1:26" ht="15.75" customHeight="1" x14ac:dyDescent="0.2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spans="1:26" ht="15.75" customHeight="1" x14ac:dyDescent="0.2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spans="1:26" ht="15.75" customHeight="1" x14ac:dyDescent="0.2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spans="1:26" ht="15.75" customHeight="1" x14ac:dyDescent="0.2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spans="1:26" ht="15.75" customHeight="1" x14ac:dyDescent="0.2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spans="1:26" ht="15.75" customHeight="1" x14ac:dyDescent="0.2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spans="1:26" ht="15.75" customHeight="1" x14ac:dyDescent="0.2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spans="1:26" ht="15.75" customHeight="1" x14ac:dyDescent="0.2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spans="1:26" ht="15.75" customHeight="1" x14ac:dyDescent="0.2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spans="1:26" ht="15.75" customHeight="1" x14ac:dyDescent="0.2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spans="1:26" ht="15.75" customHeight="1" x14ac:dyDescent="0.2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spans="1:26" ht="15.75" customHeight="1" x14ac:dyDescent="0.2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spans="1:26" ht="15.75" customHeight="1" x14ac:dyDescent="0.2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spans="1:26" ht="15.75" customHeight="1" x14ac:dyDescent="0.2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spans="1:26" ht="15.75" customHeight="1" x14ac:dyDescent="0.2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spans="1:26" ht="15.75" customHeight="1" x14ac:dyDescent="0.2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spans="1:26" ht="15.75" customHeight="1" x14ac:dyDescent="0.2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spans="1:26" ht="15.75" customHeight="1" x14ac:dyDescent="0.2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spans="1:26" ht="15.75" customHeight="1" x14ac:dyDescent="0.2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spans="1:26" ht="15.75" customHeight="1" x14ac:dyDescent="0.2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spans="1:26" ht="15.75" customHeight="1" x14ac:dyDescent="0.2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spans="1:26" ht="15.75" customHeight="1" x14ac:dyDescent="0.2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spans="1:26" ht="15.75" customHeight="1" x14ac:dyDescent="0.2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spans="1:26" ht="15.75" customHeight="1" x14ac:dyDescent="0.2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spans="1:26" ht="15.75" customHeight="1" x14ac:dyDescent="0.2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spans="1:26" ht="15.75" customHeight="1" x14ac:dyDescent="0.2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spans="1:26" ht="15.75" customHeight="1" x14ac:dyDescent="0.2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spans="1:26" ht="15.75" customHeight="1" x14ac:dyDescent="0.2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spans="1:26" ht="15.75" customHeight="1" x14ac:dyDescent="0.2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spans="1:26" ht="15.75" customHeight="1" x14ac:dyDescent="0.2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spans="1:26" ht="15.75" customHeight="1" x14ac:dyDescent="0.2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spans="1:26" ht="15.75" customHeight="1" x14ac:dyDescent="0.2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spans="1:26" ht="15.75" customHeight="1" x14ac:dyDescent="0.2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spans="1:26" ht="15.75" customHeight="1" x14ac:dyDescent="0.2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spans="1:26" ht="15.75" customHeight="1" x14ac:dyDescent="0.2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spans="1:26" ht="15.75" customHeight="1" x14ac:dyDescent="0.2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spans="1:26" ht="15.75" customHeight="1" x14ac:dyDescent="0.2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spans="1:26" ht="15.75" customHeight="1" x14ac:dyDescent="0.2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spans="1:26" ht="15.75" customHeight="1" x14ac:dyDescent="0.2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spans="1:26" ht="15.75" customHeight="1" x14ac:dyDescent="0.2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spans="1:26" ht="15.75" customHeight="1" x14ac:dyDescent="0.2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spans="1:26" ht="15.75" customHeight="1" x14ac:dyDescent="0.2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spans="1:26" ht="15.75" customHeight="1" x14ac:dyDescent="0.2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spans="1:26" ht="15.75" customHeight="1" x14ac:dyDescent="0.2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spans="1:26" ht="15.75" customHeight="1" x14ac:dyDescent="0.2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spans="1:26" ht="15.75" customHeight="1" x14ac:dyDescent="0.2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spans="1:26" ht="15.75" customHeight="1" x14ac:dyDescent="0.2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spans="1:26" ht="15.75" customHeight="1" x14ac:dyDescent="0.2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spans="1:26" ht="15.75" customHeight="1" x14ac:dyDescent="0.2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spans="1:26" ht="15.75" customHeight="1" x14ac:dyDescent="0.2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spans="1:26" ht="15.75" customHeight="1" x14ac:dyDescent="0.2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spans="1:26" ht="15.75" customHeight="1" x14ac:dyDescent="0.2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spans="1:26" ht="15.75" customHeight="1" x14ac:dyDescent="0.2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spans="1:26" ht="15.75" customHeight="1" x14ac:dyDescent="0.2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spans="1:26" ht="15.75" customHeight="1" x14ac:dyDescent="0.2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spans="1:26" ht="15.75" customHeight="1" x14ac:dyDescent="0.2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spans="1:26" ht="15.75" customHeight="1" x14ac:dyDescent="0.2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spans="1:26" ht="15.75" customHeight="1" x14ac:dyDescent="0.2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spans="1:26" ht="15.75" customHeight="1" x14ac:dyDescent="0.2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spans="1:26" ht="15.75" customHeight="1" x14ac:dyDescent="0.2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spans="1:26" ht="15.75" customHeight="1" x14ac:dyDescent="0.2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spans="1:26" ht="15.75" customHeight="1" x14ac:dyDescent="0.2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spans="1:26" ht="15.75" customHeight="1" x14ac:dyDescent="0.2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spans="1:26" ht="15.75" customHeight="1" x14ac:dyDescent="0.2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spans="1:26" ht="15.75" customHeight="1" x14ac:dyDescent="0.2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spans="1:26" ht="15.75" customHeight="1" x14ac:dyDescent="0.2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spans="1:26" ht="15.75" customHeight="1" x14ac:dyDescent="0.2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spans="1:26" ht="15.75" customHeight="1" x14ac:dyDescent="0.2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spans="1:26" ht="15.75" customHeight="1" x14ac:dyDescent="0.2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spans="1:26" ht="15.75" customHeight="1" x14ac:dyDescent="0.2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spans="1:26" ht="15.75" customHeight="1" x14ac:dyDescent="0.2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spans="1:26" ht="15.75" customHeight="1" x14ac:dyDescent="0.2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spans="1:26" ht="15.75" customHeight="1" x14ac:dyDescent="0.2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spans="1:26" ht="15.75" customHeight="1" x14ac:dyDescent="0.2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spans="1:26" ht="15.75" customHeight="1" x14ac:dyDescent="0.2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spans="1:26" ht="15.75" customHeight="1" x14ac:dyDescent="0.2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spans="1:26" ht="15.75" customHeight="1" x14ac:dyDescent="0.2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spans="1:26" ht="15.75" customHeight="1" x14ac:dyDescent="0.2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spans="1:26" ht="15.75" customHeight="1" x14ac:dyDescent="0.2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spans="1:26" ht="15.75" customHeight="1" x14ac:dyDescent="0.2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spans="1:26" ht="15.75" customHeight="1" x14ac:dyDescent="0.2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spans="1:26" ht="15.75" customHeight="1" x14ac:dyDescent="0.2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spans="1:26" ht="15.75" customHeight="1" x14ac:dyDescent="0.2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spans="1:26" ht="15.75" customHeight="1" x14ac:dyDescent="0.2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spans="1:26" ht="15.75" customHeight="1" x14ac:dyDescent="0.2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spans="1:26" ht="15.75" customHeight="1" x14ac:dyDescent="0.2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spans="1:26" ht="15.75" customHeight="1" x14ac:dyDescent="0.2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spans="1:26" ht="15.75" customHeight="1" x14ac:dyDescent="0.2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spans="1:26" ht="15.75" customHeight="1" x14ac:dyDescent="0.2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spans="1:26" ht="15.75" customHeight="1" x14ac:dyDescent="0.2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spans="1:26" ht="15.75" customHeight="1" x14ac:dyDescent="0.2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spans="1:26" ht="15.75" customHeight="1" x14ac:dyDescent="0.2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spans="1:26" ht="15.75" customHeight="1" x14ac:dyDescent="0.2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spans="1:26" ht="15.75" customHeight="1" x14ac:dyDescent="0.2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spans="1:26" ht="15.75" customHeight="1" x14ac:dyDescent="0.2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spans="1:26" ht="15.75" customHeight="1" x14ac:dyDescent="0.2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spans="1:26" ht="15.75" customHeight="1" x14ac:dyDescent="0.2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spans="1:26" ht="15.75" customHeight="1" x14ac:dyDescent="0.2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spans="1:26" ht="15.75" customHeight="1" x14ac:dyDescent="0.2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spans="1:26" ht="15.75" customHeight="1" x14ac:dyDescent="0.2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spans="1:26" ht="15.75" customHeight="1" x14ac:dyDescent="0.2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spans="1:26" ht="15.75" customHeight="1" x14ac:dyDescent="0.2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spans="1:26" ht="15.75" customHeight="1" x14ac:dyDescent="0.2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spans="1:26" ht="15.75" customHeight="1" x14ac:dyDescent="0.2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spans="1:26" ht="15.75" customHeight="1" x14ac:dyDescent="0.2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spans="1:26" ht="15.75" customHeight="1" x14ac:dyDescent="0.2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spans="1:26" ht="15.75" customHeight="1" x14ac:dyDescent="0.2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spans="1:26" ht="15.75" customHeight="1" x14ac:dyDescent="0.2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spans="1:26" ht="15.75" customHeight="1" x14ac:dyDescent="0.2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spans="1:26" ht="15.75" customHeight="1" x14ac:dyDescent="0.2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spans="1:26" ht="15.75" customHeight="1" x14ac:dyDescent="0.2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spans="1:26" ht="15.75" customHeight="1" x14ac:dyDescent="0.2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spans="1:26" ht="15.75" customHeight="1" x14ac:dyDescent="0.2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spans="1:26" ht="15.75" customHeight="1" x14ac:dyDescent="0.2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spans="1:26" ht="15.75" customHeight="1" x14ac:dyDescent="0.2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spans="1:26" ht="15.75" customHeight="1" x14ac:dyDescent="0.2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spans="1:26" ht="15.75" customHeight="1" x14ac:dyDescent="0.2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spans="1:26" ht="15.75" customHeight="1" x14ac:dyDescent="0.2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spans="1:26" ht="15.75" customHeight="1" x14ac:dyDescent="0.2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spans="1:26" ht="15.75" customHeight="1" x14ac:dyDescent="0.2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spans="1:26" ht="15.75" customHeight="1" x14ac:dyDescent="0.2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spans="1:26" ht="15.75" customHeight="1" x14ac:dyDescent="0.2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spans="1:26" ht="15.75" customHeight="1" x14ac:dyDescent="0.2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spans="1:26" ht="15.75" customHeight="1" x14ac:dyDescent="0.2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spans="1:26" ht="15.75" customHeight="1" x14ac:dyDescent="0.2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spans="1:26" ht="15.75" customHeight="1" x14ac:dyDescent="0.2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spans="1:26" ht="15.75" customHeight="1" x14ac:dyDescent="0.2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spans="1:26" ht="15.75" customHeight="1" x14ac:dyDescent="0.2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spans="1:26" ht="15.75" customHeight="1" x14ac:dyDescent="0.2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spans="1:26" ht="15.75" customHeight="1" x14ac:dyDescent="0.2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spans="1:26" ht="15.75" customHeight="1" x14ac:dyDescent="0.2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spans="1:26" ht="15.75" customHeight="1" x14ac:dyDescent="0.2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spans="1:26" ht="15.75" customHeight="1" x14ac:dyDescent="0.2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spans="1:26" ht="15.75" customHeight="1" x14ac:dyDescent="0.2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spans="1:26" ht="15.75" customHeight="1" x14ac:dyDescent="0.2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spans="1:26" ht="15.75" customHeight="1" x14ac:dyDescent="0.2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spans="1:26" ht="15.75" customHeight="1" x14ac:dyDescent="0.2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spans="1:26" ht="15.75" customHeight="1" x14ac:dyDescent="0.2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spans="1:26" ht="15.75" customHeight="1" x14ac:dyDescent="0.2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spans="1:26" ht="15.75" customHeight="1" x14ac:dyDescent="0.2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spans="1:26" ht="15.75" customHeight="1" x14ac:dyDescent="0.2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spans="1:26" ht="15.75" customHeight="1" x14ac:dyDescent="0.2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spans="1:26" ht="15.75" customHeight="1" x14ac:dyDescent="0.2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spans="1:26" ht="15.75" customHeight="1" x14ac:dyDescent="0.2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spans="1:26" ht="15.75" customHeight="1" x14ac:dyDescent="0.2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spans="1:26" ht="15.75" customHeight="1" x14ac:dyDescent="0.2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spans="1:26" ht="15.75" customHeight="1" x14ac:dyDescent="0.2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spans="1:26" ht="15.75" customHeight="1" x14ac:dyDescent="0.2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spans="1:26" ht="15.75" customHeight="1" x14ac:dyDescent="0.2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spans="1:26" ht="15.75" customHeight="1" x14ac:dyDescent="0.2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spans="1:26" ht="15.75" customHeight="1" x14ac:dyDescent="0.2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spans="1:26" ht="15.75" customHeight="1" x14ac:dyDescent="0.2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spans="1:26" ht="15.75" customHeight="1" x14ac:dyDescent="0.2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spans="1:26" ht="15.75" customHeight="1" x14ac:dyDescent="0.2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spans="1:26" ht="15.75" customHeight="1" x14ac:dyDescent="0.2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spans="1:26" ht="15.75" customHeight="1" x14ac:dyDescent="0.2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spans="1:26" ht="15.75" customHeight="1" x14ac:dyDescent="0.2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spans="1:26" ht="15.75" customHeight="1" x14ac:dyDescent="0.2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spans="1:26" ht="15.75" customHeight="1" x14ac:dyDescent="0.2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spans="1:26" ht="15.75" customHeight="1" x14ac:dyDescent="0.2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spans="1:26" ht="15.75" customHeight="1" x14ac:dyDescent="0.2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spans="1:26" ht="15.75" customHeight="1" x14ac:dyDescent="0.2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spans="1:26" ht="15.75" customHeight="1" x14ac:dyDescent="0.2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spans="1:26" ht="15.75" customHeight="1" x14ac:dyDescent="0.2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spans="1:26" ht="15.75" customHeight="1" x14ac:dyDescent="0.2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spans="1:26" ht="15.75" customHeight="1" x14ac:dyDescent="0.2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spans="1:26" ht="15.75" customHeight="1" x14ac:dyDescent="0.2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spans="1:26" ht="15.75" customHeight="1" x14ac:dyDescent="0.2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spans="1:26" ht="15.75" customHeight="1" x14ac:dyDescent="0.2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spans="1:26" ht="15.75" customHeight="1" x14ac:dyDescent="0.2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spans="1:26" ht="15.75" customHeight="1" x14ac:dyDescent="0.2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spans="1:26" ht="15.75" customHeight="1" x14ac:dyDescent="0.2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spans="1:26" ht="15.75" customHeight="1" x14ac:dyDescent="0.2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spans="1:26" ht="15.75" customHeight="1" x14ac:dyDescent="0.2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spans="1:26" ht="15.75" customHeight="1" x14ac:dyDescent="0.2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spans="1:26" ht="15.75" customHeight="1" x14ac:dyDescent="0.2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spans="1:26" ht="15.75" customHeight="1" x14ac:dyDescent="0.2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spans="1:26" ht="15.75" customHeight="1" x14ac:dyDescent="0.2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spans="1:26" ht="15.75" customHeight="1" x14ac:dyDescent="0.2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spans="1:26" ht="15.75" customHeight="1" x14ac:dyDescent="0.2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spans="1:26" ht="15.75" customHeight="1" x14ac:dyDescent="0.2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spans="1:26" ht="15.75" customHeight="1" x14ac:dyDescent="0.2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spans="1:26" ht="15.75" customHeight="1" x14ac:dyDescent="0.2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spans="1:26" ht="15.75" customHeight="1" x14ac:dyDescent="0.2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spans="1:26" ht="15.75" customHeight="1" x14ac:dyDescent="0.2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spans="1:26" ht="15.75" customHeight="1" x14ac:dyDescent="0.2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spans="1:26" ht="15.75" customHeight="1" x14ac:dyDescent="0.2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spans="1:26" ht="15.75" customHeight="1" x14ac:dyDescent="0.2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spans="1:26" ht="15.75" customHeight="1" x14ac:dyDescent="0.2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spans="1:26" ht="15.75" customHeight="1" x14ac:dyDescent="0.2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spans="1:26" ht="15.75" customHeight="1" x14ac:dyDescent="0.2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spans="1:26" ht="15.75" customHeight="1" x14ac:dyDescent="0.2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spans="1:26" ht="15.75" customHeight="1" x14ac:dyDescent="0.2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spans="1:26" ht="15.75" customHeight="1" x14ac:dyDescent="0.2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spans="1:26" ht="15.75" customHeight="1" x14ac:dyDescent="0.2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spans="1:26" ht="15.75" customHeight="1" x14ac:dyDescent="0.2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spans="1:26" ht="15.75" customHeight="1" x14ac:dyDescent="0.2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spans="1:26" ht="15.75" customHeight="1" x14ac:dyDescent="0.2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spans="1:26" ht="15.75" customHeight="1" x14ac:dyDescent="0.2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spans="1:26" ht="15.75" customHeight="1" x14ac:dyDescent="0.2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spans="1:26" ht="15.75" customHeight="1" x14ac:dyDescent="0.2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spans="1:26" ht="15.75" customHeight="1" x14ac:dyDescent="0.2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spans="1:26" ht="15.75" customHeight="1" x14ac:dyDescent="0.2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spans="1:26" ht="15.75" customHeight="1" x14ac:dyDescent="0.2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spans="1:26" ht="15.75" customHeight="1" x14ac:dyDescent="0.2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spans="1:26" ht="15.75" customHeight="1" x14ac:dyDescent="0.2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spans="1:26" ht="15.75" customHeight="1" x14ac:dyDescent="0.2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spans="1:26" ht="15.75" customHeight="1" x14ac:dyDescent="0.2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spans="1:26" ht="15.75" customHeight="1" x14ac:dyDescent="0.2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spans="1:26" ht="15.75" customHeight="1" x14ac:dyDescent="0.2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spans="1:26" ht="15.75" customHeight="1" x14ac:dyDescent="0.2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spans="1:26" ht="15.75" customHeight="1" x14ac:dyDescent="0.2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spans="1:26" ht="15.75" customHeight="1" x14ac:dyDescent="0.2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spans="1:26" ht="15.75" customHeight="1" x14ac:dyDescent="0.2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spans="1:26" ht="15.75" customHeight="1" x14ac:dyDescent="0.2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spans="1:26" ht="15.75" customHeight="1" x14ac:dyDescent="0.2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spans="1:26" ht="15.75" customHeight="1" x14ac:dyDescent="0.2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spans="1:26" ht="15.75" customHeight="1" x14ac:dyDescent="0.2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spans="1:26" ht="15.75" customHeight="1" x14ac:dyDescent="0.2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spans="1:26" ht="15.75" customHeight="1" x14ac:dyDescent="0.2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spans="1:26" ht="15.75" customHeight="1" x14ac:dyDescent="0.2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spans="1:26" ht="15.75" customHeight="1" x14ac:dyDescent="0.2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spans="1:26" ht="15.75" customHeight="1" x14ac:dyDescent="0.2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spans="1:26" ht="15.75" customHeight="1" x14ac:dyDescent="0.2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spans="1:26" ht="15.75" customHeight="1" x14ac:dyDescent="0.2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spans="1:26" ht="15.75" customHeight="1" x14ac:dyDescent="0.2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spans="1:26" ht="15.75" customHeight="1" x14ac:dyDescent="0.2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spans="1:26" ht="15.75" customHeight="1" x14ac:dyDescent="0.2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spans="1:26" ht="15.75" customHeight="1" x14ac:dyDescent="0.2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spans="1:26" ht="15.75" customHeight="1" x14ac:dyDescent="0.2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spans="1:26" ht="15.75" customHeight="1" x14ac:dyDescent="0.2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spans="1:26" ht="15.75" customHeight="1" x14ac:dyDescent="0.2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spans="1:26" ht="15.75" customHeight="1" x14ac:dyDescent="0.2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spans="1:26" ht="15.75" customHeight="1" x14ac:dyDescent="0.2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spans="1:26" ht="15.75" customHeight="1" x14ac:dyDescent="0.2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spans="1:26" ht="15.75" customHeight="1" x14ac:dyDescent="0.2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spans="1:26" ht="15.75" customHeight="1" x14ac:dyDescent="0.2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spans="1:26" ht="15.75" customHeight="1" x14ac:dyDescent="0.2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spans="1:26" ht="15.75" customHeight="1" x14ac:dyDescent="0.2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spans="1:26" ht="15.75" customHeight="1" x14ac:dyDescent="0.2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spans="1:26" ht="15.75" customHeight="1" x14ac:dyDescent="0.2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spans="1:26" ht="15.75" customHeight="1" x14ac:dyDescent="0.2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spans="1:26" ht="15.75" customHeight="1" x14ac:dyDescent="0.2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spans="1:26" ht="15.75" customHeight="1" x14ac:dyDescent="0.2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spans="1:26" ht="15.75" customHeight="1" x14ac:dyDescent="0.2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spans="1:26" ht="15.75" customHeight="1" x14ac:dyDescent="0.2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spans="1:26" ht="15.75" customHeight="1" x14ac:dyDescent="0.2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spans="1:26" ht="15.75" customHeight="1" x14ac:dyDescent="0.2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spans="1:26" ht="15.75" customHeight="1" x14ac:dyDescent="0.2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spans="1:26" ht="15.75" customHeight="1" x14ac:dyDescent="0.2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spans="1:26" ht="15.75" customHeight="1" x14ac:dyDescent="0.2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spans="1:26" ht="15.75" customHeight="1" x14ac:dyDescent="0.2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spans="1:26" ht="15.75" customHeight="1" x14ac:dyDescent="0.2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spans="1:26" ht="15.75" customHeight="1" x14ac:dyDescent="0.2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spans="1:26" ht="15.75" customHeight="1" x14ac:dyDescent="0.2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spans="1:26" ht="15.75" customHeight="1" x14ac:dyDescent="0.2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spans="1:26" ht="15.75" customHeight="1" x14ac:dyDescent="0.2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spans="1:26" ht="15.75" customHeight="1" x14ac:dyDescent="0.2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spans="1:26" ht="15.75" customHeight="1" x14ac:dyDescent="0.2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spans="1:26" ht="15.75" customHeight="1" x14ac:dyDescent="0.2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spans="1:26" ht="15.75" customHeight="1" x14ac:dyDescent="0.2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spans="1:26" ht="15.75" customHeight="1" x14ac:dyDescent="0.2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spans="1:26" ht="15.75" customHeight="1" x14ac:dyDescent="0.2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spans="1:26" ht="15.75" customHeight="1" x14ac:dyDescent="0.2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spans="1:26" ht="15.75" customHeight="1" x14ac:dyDescent="0.2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spans="1:26" ht="15.75" customHeight="1" x14ac:dyDescent="0.2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spans="1:26" ht="15.75" customHeight="1" x14ac:dyDescent="0.2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spans="1:26" ht="15.75" customHeight="1" x14ac:dyDescent="0.2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spans="1:26" ht="15.75" customHeight="1" x14ac:dyDescent="0.2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spans="1:26" ht="15.75" customHeight="1" x14ac:dyDescent="0.2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spans="1:26" ht="15.75" customHeight="1" x14ac:dyDescent="0.2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spans="1:26" ht="15.75" customHeight="1" x14ac:dyDescent="0.2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spans="1:26" ht="15.75" customHeight="1" x14ac:dyDescent="0.2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spans="1:26" ht="15.75" customHeight="1" x14ac:dyDescent="0.2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spans="1:26" ht="15.75" customHeight="1" x14ac:dyDescent="0.2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spans="1:26" ht="15.75" customHeight="1" x14ac:dyDescent="0.2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spans="1:26" ht="15.75" customHeight="1" x14ac:dyDescent="0.2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spans="1:26" ht="15.75" customHeight="1" x14ac:dyDescent="0.2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spans="1:26" ht="15.75" customHeight="1" x14ac:dyDescent="0.2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spans="1:26" ht="15.75" customHeight="1" x14ac:dyDescent="0.2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spans="1:26" ht="15.75" customHeight="1" x14ac:dyDescent="0.2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spans="1:26" ht="15.75" customHeight="1" x14ac:dyDescent="0.2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spans="1:26" ht="15.75" customHeight="1" x14ac:dyDescent="0.2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spans="1:26" ht="15.75" customHeight="1" x14ac:dyDescent="0.2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spans="1:26" ht="15.75" customHeight="1" x14ac:dyDescent="0.2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spans="1:26" ht="15.75" customHeight="1" x14ac:dyDescent="0.2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spans="1:26" ht="15.75" customHeight="1" x14ac:dyDescent="0.2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spans="1:26" ht="15.75" customHeight="1" x14ac:dyDescent="0.2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spans="1:26" ht="15.75" customHeight="1" x14ac:dyDescent="0.2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spans="1:26" ht="15.75" customHeight="1" x14ac:dyDescent="0.2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spans="1:26" ht="15.75" customHeight="1" x14ac:dyDescent="0.2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spans="1:26" ht="15.75" customHeight="1" x14ac:dyDescent="0.2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spans="1:26" ht="15.75" customHeight="1" x14ac:dyDescent="0.2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spans="1:26" ht="15.75" customHeight="1" x14ac:dyDescent="0.2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spans="1:26" ht="15.75" customHeight="1" x14ac:dyDescent="0.2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spans="1:26" ht="15.75" customHeight="1" x14ac:dyDescent="0.2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spans="1:26" ht="15.75" customHeight="1" x14ac:dyDescent="0.2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spans="1:26" ht="15.75" customHeight="1" x14ac:dyDescent="0.2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spans="1:26" ht="15.75" customHeight="1" x14ac:dyDescent="0.2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spans="1:26" ht="15.75" customHeight="1" x14ac:dyDescent="0.2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spans="1:26" ht="15.75" customHeight="1" x14ac:dyDescent="0.2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spans="1:26" ht="15.75" customHeight="1" x14ac:dyDescent="0.2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spans="1:26" ht="15.75" customHeight="1" x14ac:dyDescent="0.2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spans="1:26" ht="15.75" customHeight="1" x14ac:dyDescent="0.2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spans="1:26" ht="15.75" customHeight="1" x14ac:dyDescent="0.2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spans="1:26" ht="15.75" customHeight="1" x14ac:dyDescent="0.2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spans="1:26" ht="15.75" customHeight="1" x14ac:dyDescent="0.2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spans="1:26" ht="15.75" customHeight="1" x14ac:dyDescent="0.2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spans="1:26" ht="15.75" customHeight="1" x14ac:dyDescent="0.2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spans="1:26" ht="15.75" customHeight="1" x14ac:dyDescent="0.2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spans="1:26" ht="15.75" customHeight="1" x14ac:dyDescent="0.2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spans="1:26" ht="15.75" customHeight="1" x14ac:dyDescent="0.2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spans="1:26" ht="15.75" customHeight="1" x14ac:dyDescent="0.2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spans="1:26" ht="15.75" customHeight="1" x14ac:dyDescent="0.2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spans="1:26" ht="15.75" customHeight="1" x14ac:dyDescent="0.2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spans="1:26" ht="15.75" customHeight="1" x14ac:dyDescent="0.2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spans="1:26" ht="15.75" customHeight="1" x14ac:dyDescent="0.2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spans="1:26" ht="15.75" customHeight="1" x14ac:dyDescent="0.2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spans="1:26" ht="15.75" customHeight="1" x14ac:dyDescent="0.2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spans="1:26" ht="15.75" customHeight="1" x14ac:dyDescent="0.2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spans="1:26" ht="15.75" customHeight="1" x14ac:dyDescent="0.2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spans="1:26" ht="15.75" customHeight="1" x14ac:dyDescent="0.2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spans="1:26" ht="15.75" customHeight="1" x14ac:dyDescent="0.2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spans="1:26" ht="15.75" customHeight="1" x14ac:dyDescent="0.2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spans="1:26" ht="15.75" customHeight="1" x14ac:dyDescent="0.2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spans="1:26" ht="15.75" customHeight="1" x14ac:dyDescent="0.2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spans="1:26" ht="15.75" customHeight="1" x14ac:dyDescent="0.2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spans="1:26" ht="15.75" customHeight="1" x14ac:dyDescent="0.2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spans="1:26" ht="15.75" customHeight="1" x14ac:dyDescent="0.2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spans="1:26" ht="15.75" customHeight="1" x14ac:dyDescent="0.2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spans="1:26" ht="15.75" customHeight="1" x14ac:dyDescent="0.2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spans="1:26" ht="15.75" customHeight="1" x14ac:dyDescent="0.2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spans="1:26" ht="15.75" customHeight="1" x14ac:dyDescent="0.2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spans="1:26" ht="15.75" customHeight="1" x14ac:dyDescent="0.2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spans="1:26" ht="15.75" customHeight="1" x14ac:dyDescent="0.2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spans="1:26" ht="15.75" customHeight="1" x14ac:dyDescent="0.2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spans="1:26" ht="15.75" customHeight="1" x14ac:dyDescent="0.2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spans="1:26" ht="15.75" customHeight="1" x14ac:dyDescent="0.2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spans="1:26" ht="15.75" customHeight="1" x14ac:dyDescent="0.2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spans="1:26" ht="15.75" customHeight="1" x14ac:dyDescent="0.2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spans="1:26" ht="15.75" customHeight="1" x14ac:dyDescent="0.2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spans="1:26" ht="15.75" customHeight="1" x14ac:dyDescent="0.2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spans="1:26" ht="15.75" customHeight="1" x14ac:dyDescent="0.2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spans="1:26" ht="15.75" customHeight="1" x14ac:dyDescent="0.2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spans="1:26" ht="15.75" customHeight="1" x14ac:dyDescent="0.2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spans="1:26" ht="15.75" customHeight="1" x14ac:dyDescent="0.2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spans="1:26" ht="15.75" customHeight="1" x14ac:dyDescent="0.2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spans="1:26" ht="15.75" customHeight="1" x14ac:dyDescent="0.2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spans="1:26" ht="15.75" customHeight="1" x14ac:dyDescent="0.2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spans="1:26" ht="15.75" customHeight="1" x14ac:dyDescent="0.2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spans="1:26" ht="15.75" customHeight="1" x14ac:dyDescent="0.2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spans="1:26" ht="15.75" customHeight="1" x14ac:dyDescent="0.2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spans="1:26" ht="15.75" customHeight="1" x14ac:dyDescent="0.2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spans="1:26" ht="15.75" customHeight="1" x14ac:dyDescent="0.2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spans="1:26" ht="15.75" customHeight="1" x14ac:dyDescent="0.2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spans="1:26" ht="15.75" customHeight="1" x14ac:dyDescent="0.2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spans="1:26" ht="15.75" customHeight="1" x14ac:dyDescent="0.2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spans="1:26" ht="15.75" customHeight="1" x14ac:dyDescent="0.2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spans="1:26" ht="15.75" customHeight="1" x14ac:dyDescent="0.2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spans="1:26" ht="15.75" customHeight="1" x14ac:dyDescent="0.2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spans="1:26" ht="15.75" customHeight="1" x14ac:dyDescent="0.2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spans="1:26" ht="15.75" customHeight="1" x14ac:dyDescent="0.2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spans="1:26" ht="15.75" customHeight="1" x14ac:dyDescent="0.2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spans="1:26" ht="15.75" customHeight="1" x14ac:dyDescent="0.2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spans="1:26" ht="15.75" customHeight="1" x14ac:dyDescent="0.2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spans="1:26" ht="15.75" customHeight="1" x14ac:dyDescent="0.2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spans="1:26" ht="15.75" customHeight="1" x14ac:dyDescent="0.2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spans="1:26" ht="15.75" customHeight="1" x14ac:dyDescent="0.2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spans="1:26" ht="15.75" customHeight="1" x14ac:dyDescent="0.2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spans="1:26" ht="15.75" customHeight="1" x14ac:dyDescent="0.2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spans="1:26" ht="15.75" customHeight="1" x14ac:dyDescent="0.2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spans="1:26" ht="15.75" customHeight="1" x14ac:dyDescent="0.2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spans="1:26" ht="15.75" customHeight="1" x14ac:dyDescent="0.2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spans="1:26" ht="15.75" customHeight="1" x14ac:dyDescent="0.2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spans="1:26" ht="15.75" customHeight="1" x14ac:dyDescent="0.2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spans="1:26" ht="15.75" customHeight="1" x14ac:dyDescent="0.2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spans="1:26" ht="15.75" customHeight="1" x14ac:dyDescent="0.2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spans="1:26" ht="15.75" customHeight="1" x14ac:dyDescent="0.2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spans="1:26" ht="15.75" customHeight="1" x14ac:dyDescent="0.2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spans="1:26" ht="15.75" customHeight="1" x14ac:dyDescent="0.2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spans="1:26" ht="15.75" customHeight="1" x14ac:dyDescent="0.2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spans="1:26" ht="15.75" customHeight="1" x14ac:dyDescent="0.2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spans="1:26" ht="15.75" customHeight="1" x14ac:dyDescent="0.2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spans="1:26" ht="15.75" customHeight="1" x14ac:dyDescent="0.2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spans="1:26" ht="15.75" customHeight="1" x14ac:dyDescent="0.2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spans="1:26" ht="15.75" customHeight="1" x14ac:dyDescent="0.2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spans="1:26" ht="15.75" customHeight="1" x14ac:dyDescent="0.2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spans="1:26" ht="15.75" customHeight="1" x14ac:dyDescent="0.2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spans="1:26" ht="15.75" customHeight="1" x14ac:dyDescent="0.2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spans="1:26" ht="15.75" customHeight="1" x14ac:dyDescent="0.2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spans="1:26" ht="15.75" customHeight="1" x14ac:dyDescent="0.2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spans="1:26" ht="15.75" customHeight="1" x14ac:dyDescent="0.2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spans="1:26" ht="15.75" customHeight="1" x14ac:dyDescent="0.2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spans="1:26" ht="15.75" customHeight="1" x14ac:dyDescent="0.2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spans="1:26" ht="15.75" customHeight="1" x14ac:dyDescent="0.2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spans="1:26" ht="15.75" customHeight="1" x14ac:dyDescent="0.2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spans="1:26" ht="15.75" customHeight="1" x14ac:dyDescent="0.2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spans="1:26" ht="15.75" customHeight="1" x14ac:dyDescent="0.2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spans="1:26" ht="15.75" customHeight="1" x14ac:dyDescent="0.2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spans="1:26" ht="15.75" customHeight="1" x14ac:dyDescent="0.2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spans="1:26" ht="15.75" customHeight="1" x14ac:dyDescent="0.2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spans="1:26" ht="15.75" customHeight="1" x14ac:dyDescent="0.2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spans="1:26" ht="15.75" customHeight="1" x14ac:dyDescent="0.2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spans="1:26" ht="15.75" customHeight="1" x14ac:dyDescent="0.2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spans="1:26" ht="15.75" customHeight="1" x14ac:dyDescent="0.2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spans="1:26" ht="15.75" customHeight="1" x14ac:dyDescent="0.2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spans="1:26" ht="15.75" customHeight="1" x14ac:dyDescent="0.2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spans="1:26" ht="15.75" customHeight="1" x14ac:dyDescent="0.2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spans="1:26" ht="15.75" customHeight="1" x14ac:dyDescent="0.2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spans="1:26" ht="15.75" customHeight="1" x14ac:dyDescent="0.2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spans="1:26" ht="15.75" customHeight="1" x14ac:dyDescent="0.2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spans="1:26" ht="15.75" customHeight="1" x14ac:dyDescent="0.2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spans="1:26" ht="15.75" customHeight="1" x14ac:dyDescent="0.2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spans="1:26" ht="15.75" customHeight="1" x14ac:dyDescent="0.2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spans="1:26" ht="15.75" customHeight="1" x14ac:dyDescent="0.2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spans="1:26" ht="15.75" customHeight="1" x14ac:dyDescent="0.2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spans="1:26" ht="15.75" customHeight="1" x14ac:dyDescent="0.2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spans="1:26" ht="15.75" customHeight="1" x14ac:dyDescent="0.2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spans="1:26" ht="15.75" customHeight="1" x14ac:dyDescent="0.2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spans="1:26" ht="15.75" customHeight="1" x14ac:dyDescent="0.2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spans="1:26" ht="15.75" customHeight="1" x14ac:dyDescent="0.2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spans="1:26" ht="15.75" customHeight="1" x14ac:dyDescent="0.2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spans="1:26" ht="15.75" customHeight="1" x14ac:dyDescent="0.2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spans="1:26" ht="15.75" customHeight="1" x14ac:dyDescent="0.2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spans="1:26" ht="15.75" customHeight="1" x14ac:dyDescent="0.2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spans="1:26" ht="15.75" customHeight="1" x14ac:dyDescent="0.2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spans="1:26" ht="15.75" customHeight="1" x14ac:dyDescent="0.2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spans="1:26" ht="15.75" customHeight="1" x14ac:dyDescent="0.2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spans="1:26" ht="15.75" customHeight="1" x14ac:dyDescent="0.2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spans="1:26" ht="15.75" customHeight="1" x14ac:dyDescent="0.2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spans="1:26" ht="15.75" customHeight="1" x14ac:dyDescent="0.2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spans="1:26" ht="15.75" customHeight="1" x14ac:dyDescent="0.2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spans="1:26" ht="15.75" customHeight="1" x14ac:dyDescent="0.2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spans="1:26" ht="15.75" customHeight="1" x14ac:dyDescent="0.2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spans="1:26" ht="15.75" customHeight="1" x14ac:dyDescent="0.2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spans="1:26" ht="15.75" customHeight="1" x14ac:dyDescent="0.2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spans="1:26" ht="15.75" customHeight="1" x14ac:dyDescent="0.2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spans="1:26" ht="15.75" customHeight="1" x14ac:dyDescent="0.2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spans="1:26" ht="15.75" customHeight="1" x14ac:dyDescent="0.2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spans="1:26" ht="15.75" customHeight="1" x14ac:dyDescent="0.2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spans="1:26" ht="15.75" customHeight="1" x14ac:dyDescent="0.2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spans="1:26" ht="15.75" customHeight="1" x14ac:dyDescent="0.2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spans="1:26" ht="15.75" customHeight="1" x14ac:dyDescent="0.2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spans="1:26" ht="15.75" customHeight="1" x14ac:dyDescent="0.2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spans="1:26" ht="15.75" customHeight="1" x14ac:dyDescent="0.2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spans="1:26" ht="15.75" customHeight="1" x14ac:dyDescent="0.2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spans="1:26" ht="15.75" customHeight="1" x14ac:dyDescent="0.2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spans="1:26" ht="15.75" customHeight="1" x14ac:dyDescent="0.2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spans="1:26" ht="15.75" customHeight="1" x14ac:dyDescent="0.2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spans="1:26" ht="15.75" customHeight="1" x14ac:dyDescent="0.2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spans="1:26" ht="15.75" customHeight="1" x14ac:dyDescent="0.2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spans="1:26" ht="15.75" customHeight="1" x14ac:dyDescent="0.2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spans="1:26" ht="15.75" customHeight="1" x14ac:dyDescent="0.2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spans="1:26" ht="15.75" customHeight="1" x14ac:dyDescent="0.2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spans="1:26" ht="15.75" customHeight="1" x14ac:dyDescent="0.2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spans="1:26" ht="15.75" customHeight="1" x14ac:dyDescent="0.2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spans="1:26" ht="15.75" customHeight="1" x14ac:dyDescent="0.2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spans="1:26" ht="15.75" customHeight="1" x14ac:dyDescent="0.2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spans="1:26" ht="15.75" customHeight="1" x14ac:dyDescent="0.2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spans="1:26" ht="15.75" customHeight="1" x14ac:dyDescent="0.2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spans="1:26" ht="15.75" customHeight="1" x14ac:dyDescent="0.2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spans="1:26" ht="15.75" customHeight="1" x14ac:dyDescent="0.2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spans="1:26" ht="15.75" customHeight="1" x14ac:dyDescent="0.2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spans="1:26" ht="15.75" customHeight="1" x14ac:dyDescent="0.2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spans="1:26" ht="15.75" customHeight="1" x14ac:dyDescent="0.2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spans="1:26" ht="15.75" customHeight="1" x14ac:dyDescent="0.2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spans="1:26" ht="15.75" customHeight="1" x14ac:dyDescent="0.2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spans="1:26" ht="15.75" customHeight="1" x14ac:dyDescent="0.2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spans="1:26" ht="15.75" customHeight="1" x14ac:dyDescent="0.2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spans="1:26" ht="15.75" customHeight="1" x14ac:dyDescent="0.2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spans="1:26" ht="15.75" customHeight="1" x14ac:dyDescent="0.2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spans="1:26" ht="15.75" customHeight="1" x14ac:dyDescent="0.2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spans="1:26" ht="15.75" customHeight="1" x14ac:dyDescent="0.2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spans="1:26" ht="15.75" customHeight="1" x14ac:dyDescent="0.2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spans="1:26" ht="15.75" customHeight="1" x14ac:dyDescent="0.2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spans="1:26" ht="15.75" customHeight="1" x14ac:dyDescent="0.2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spans="1:26" ht="15.75" customHeight="1" x14ac:dyDescent="0.2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spans="1:26" ht="15.75" customHeight="1" x14ac:dyDescent="0.2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spans="1:26" ht="15.75" customHeight="1" x14ac:dyDescent="0.2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spans="1:26" ht="15.75" customHeight="1" x14ac:dyDescent="0.2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spans="1:26" ht="15.75" customHeight="1" x14ac:dyDescent="0.2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spans="1:26" ht="15.75" customHeight="1" x14ac:dyDescent="0.2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spans="1:26" ht="15.75" customHeight="1" x14ac:dyDescent="0.2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spans="1:26" ht="15.75" customHeight="1" x14ac:dyDescent="0.2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spans="1:26" ht="15.75" customHeight="1" x14ac:dyDescent="0.2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spans="1:26" ht="15.75" customHeight="1" x14ac:dyDescent="0.2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spans="1:26" ht="15.75" customHeight="1" x14ac:dyDescent="0.2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spans="1:26" ht="15.75" customHeight="1" x14ac:dyDescent="0.2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spans="1:26" ht="15.75" customHeight="1" x14ac:dyDescent="0.2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spans="1:26" ht="15.75" customHeight="1" x14ac:dyDescent="0.2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spans="1:26" ht="15.75" customHeight="1" x14ac:dyDescent="0.2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spans="1:26" ht="15.75" customHeight="1" x14ac:dyDescent="0.2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spans="1:26" ht="15.75" customHeight="1" x14ac:dyDescent="0.2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spans="1:26" ht="15.75" customHeight="1" x14ac:dyDescent="0.2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spans="1:26" ht="15.75" customHeight="1" x14ac:dyDescent="0.2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spans="1:26" ht="15.75" customHeight="1" x14ac:dyDescent="0.2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spans="1:26" ht="15.75" customHeight="1" x14ac:dyDescent="0.2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spans="1:26" ht="15.75" customHeight="1" x14ac:dyDescent="0.2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spans="1:26" ht="15.75" customHeight="1" x14ac:dyDescent="0.2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spans="1:26" ht="15.75" customHeight="1" x14ac:dyDescent="0.2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spans="1:26" ht="15.75" customHeight="1" x14ac:dyDescent="0.2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spans="1:26" ht="15.75" customHeight="1" x14ac:dyDescent="0.2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spans="1:26" ht="15.75" customHeight="1" x14ac:dyDescent="0.2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spans="1:26" ht="15.75" customHeight="1" x14ac:dyDescent="0.2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spans="1:26" ht="15.75" customHeight="1" x14ac:dyDescent="0.2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spans="1:26" ht="15.75" customHeight="1" x14ac:dyDescent="0.2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spans="1:26" ht="15.75" customHeight="1" x14ac:dyDescent="0.2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spans="1:26" ht="15.75" customHeight="1" x14ac:dyDescent="0.2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spans="1:26" ht="15.75" customHeight="1" x14ac:dyDescent="0.2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spans="1:26" ht="15.75" customHeight="1" x14ac:dyDescent="0.2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spans="1:26" ht="15.75" customHeight="1" x14ac:dyDescent="0.2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spans="1:26" ht="15.75" customHeight="1" x14ac:dyDescent="0.2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spans="1:26" ht="15.75" customHeight="1" x14ac:dyDescent="0.2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spans="1:26" ht="15.75" customHeight="1" x14ac:dyDescent="0.2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spans="1:26" ht="15.75" customHeight="1" x14ac:dyDescent="0.2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spans="1:26" ht="15.75" customHeight="1" x14ac:dyDescent="0.2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spans="1:26" ht="15.75" customHeight="1" x14ac:dyDescent="0.2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spans="1:26" ht="15.75" customHeight="1" x14ac:dyDescent="0.2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spans="1:26" ht="15.75" customHeight="1" x14ac:dyDescent="0.2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spans="1:26" ht="15.75" customHeight="1" x14ac:dyDescent="0.2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spans="1:26" ht="15.75" customHeight="1" x14ac:dyDescent="0.2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spans="1:26" ht="15.75" customHeight="1" x14ac:dyDescent="0.2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spans="1:26" ht="15.75" customHeight="1" x14ac:dyDescent="0.2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spans="1:26" ht="15.75" customHeight="1" x14ac:dyDescent="0.2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spans="1:26" ht="15.75" customHeight="1" x14ac:dyDescent="0.2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spans="1:26" ht="15.75" customHeight="1" x14ac:dyDescent="0.2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spans="1:26" ht="15.75" customHeight="1" x14ac:dyDescent="0.2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spans="1:26" ht="15.75" customHeight="1" x14ac:dyDescent="0.2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spans="1:26" ht="15.75" customHeight="1" x14ac:dyDescent="0.2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spans="1:26" ht="15.75" customHeight="1" x14ac:dyDescent="0.2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spans="1:26" ht="15.75" customHeight="1" x14ac:dyDescent="0.2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spans="1:26" ht="15.75" customHeight="1" x14ac:dyDescent="0.2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spans="1:26" ht="15.75" customHeight="1" x14ac:dyDescent="0.2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spans="1:26" ht="15.75" customHeight="1" x14ac:dyDescent="0.2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spans="1:26" ht="15.75" customHeight="1" x14ac:dyDescent="0.2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spans="1:26" ht="15.75" customHeight="1" x14ac:dyDescent="0.2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spans="1:26" ht="15.75" customHeight="1" x14ac:dyDescent="0.2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spans="1:26" ht="15.75" customHeight="1" x14ac:dyDescent="0.2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spans="1:26" ht="15.75" customHeight="1" x14ac:dyDescent="0.2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spans="1:26" ht="15.75" customHeight="1" x14ac:dyDescent="0.2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spans="1:26" ht="15.75" customHeight="1" x14ac:dyDescent="0.2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spans="1:26" ht="15.75" customHeight="1" x14ac:dyDescent="0.2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spans="1:26" ht="15.75" customHeight="1" x14ac:dyDescent="0.2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spans="1:26" ht="15.75" customHeight="1" x14ac:dyDescent="0.2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spans="1:26" ht="15.75" customHeight="1" x14ac:dyDescent="0.2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spans="1:26" ht="15.75" customHeight="1" x14ac:dyDescent="0.2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spans="1:26" ht="15.75" customHeight="1" x14ac:dyDescent="0.2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spans="1:26" ht="15.75" customHeight="1" x14ac:dyDescent="0.2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spans="1:26" ht="15.75" customHeight="1" x14ac:dyDescent="0.2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spans="1:26" ht="15.75" customHeight="1" x14ac:dyDescent="0.2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spans="1:26" ht="15.75" customHeight="1" x14ac:dyDescent="0.2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spans="1:26" ht="15.75" customHeight="1" x14ac:dyDescent="0.2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spans="1:26" ht="15.75" customHeight="1" x14ac:dyDescent="0.2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spans="1:26" ht="15.75" customHeight="1" x14ac:dyDescent="0.2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spans="1:26" ht="15.75" customHeight="1" x14ac:dyDescent="0.2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spans="1:26" ht="15.75" customHeight="1" x14ac:dyDescent="0.2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spans="1:26" ht="15.75" customHeight="1" x14ac:dyDescent="0.2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spans="1:26" ht="15.75" customHeight="1" x14ac:dyDescent="0.2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spans="1:26" ht="15.75" customHeight="1" x14ac:dyDescent="0.2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spans="1:26" ht="15.75" customHeight="1" x14ac:dyDescent="0.2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spans="1:26" ht="15.75" customHeight="1" x14ac:dyDescent="0.2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spans="1:26" ht="15.75" customHeight="1" x14ac:dyDescent="0.2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spans="1:26" ht="15.75" customHeight="1" x14ac:dyDescent="0.2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spans="1:26" ht="15.75" customHeight="1" x14ac:dyDescent="0.2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spans="1:26" ht="15.75" customHeight="1" x14ac:dyDescent="0.2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spans="1:26" ht="15.75" customHeight="1" x14ac:dyDescent="0.2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spans="1:26" ht="15.75" customHeight="1" x14ac:dyDescent="0.2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spans="1:26" ht="15.75" customHeight="1" x14ac:dyDescent="0.2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spans="1:26" ht="15.75" customHeight="1" x14ac:dyDescent="0.2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spans="1:26" ht="15.75" customHeight="1" x14ac:dyDescent="0.2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spans="1:26" ht="15.75" customHeight="1" x14ac:dyDescent="0.2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spans="1:26" ht="15.75" customHeight="1" x14ac:dyDescent="0.2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spans="1:26" ht="15.75" customHeight="1" x14ac:dyDescent="0.2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spans="1:26" ht="15.75" customHeight="1" x14ac:dyDescent="0.2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spans="1:26" ht="15.75" customHeight="1" x14ac:dyDescent="0.2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spans="1:26" ht="15.75" customHeight="1" x14ac:dyDescent="0.2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spans="1:26" ht="15.75" customHeight="1" x14ac:dyDescent="0.2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spans="1:26" ht="15.75" customHeight="1" x14ac:dyDescent="0.2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spans="1:26" ht="15.75" customHeight="1" x14ac:dyDescent="0.2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spans="1:26" ht="15.75" customHeight="1" x14ac:dyDescent="0.2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spans="1:26" ht="15.75" customHeight="1" x14ac:dyDescent="0.2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spans="1:26" ht="15.75" customHeight="1" x14ac:dyDescent="0.2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spans="1:26" ht="15.75" customHeight="1" x14ac:dyDescent="0.2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spans="1:26" ht="15.75" customHeight="1" x14ac:dyDescent="0.2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spans="1:26" ht="15.75" customHeight="1" x14ac:dyDescent="0.2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spans="1:26" ht="15.75" customHeight="1" x14ac:dyDescent="0.2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spans="1:26" ht="15.75" customHeight="1" x14ac:dyDescent="0.2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spans="1:26" ht="15.75" customHeight="1" x14ac:dyDescent="0.2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spans="1:26" ht="15.75" customHeight="1" x14ac:dyDescent="0.2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spans="1:26" ht="15.75" customHeight="1" x14ac:dyDescent="0.2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spans="1:26" ht="15.75" customHeight="1" x14ac:dyDescent="0.2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spans="1:26" ht="15.75" customHeight="1" x14ac:dyDescent="0.2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spans="1:26" ht="15.75" customHeight="1" x14ac:dyDescent="0.2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spans="1:26" ht="15.75" customHeight="1" x14ac:dyDescent="0.2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spans="1:26" ht="15.75" customHeight="1" x14ac:dyDescent="0.2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spans="1:26" ht="15.75" customHeight="1" x14ac:dyDescent="0.2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spans="1:26" ht="15.75" customHeight="1" x14ac:dyDescent="0.2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spans="1:26" ht="15.75" customHeight="1" x14ac:dyDescent="0.2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spans="1:26" ht="15.75" customHeight="1" x14ac:dyDescent="0.2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spans="1:26" ht="15.75" customHeight="1" x14ac:dyDescent="0.2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spans="1:26" ht="15.75" customHeight="1" x14ac:dyDescent="0.2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spans="1:26" ht="15.75" customHeight="1" x14ac:dyDescent="0.2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spans="1:26" ht="15.75" customHeight="1" x14ac:dyDescent="0.2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spans="1:26" ht="15.75" customHeight="1" x14ac:dyDescent="0.2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spans="1:26" ht="15.75" customHeight="1" x14ac:dyDescent="0.2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spans="1:26" ht="15.75" customHeight="1" x14ac:dyDescent="0.2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spans="1:26" ht="15.75" customHeight="1" x14ac:dyDescent="0.2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spans="1:26" ht="15.75" customHeight="1" x14ac:dyDescent="0.2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spans="1:26" ht="15.75" customHeight="1" x14ac:dyDescent="0.2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spans="1:26" ht="15.75" customHeight="1" x14ac:dyDescent="0.2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spans="1:26" ht="15.75" customHeight="1" x14ac:dyDescent="0.2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spans="1:26" ht="15.75" customHeight="1" x14ac:dyDescent="0.2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spans="1:26" ht="15.75" customHeight="1" x14ac:dyDescent="0.2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spans="1:26" ht="15.75" customHeight="1" x14ac:dyDescent="0.2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spans="1:26" ht="15.75" customHeight="1" x14ac:dyDescent="0.2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spans="1:26" ht="15.75" customHeight="1" x14ac:dyDescent="0.2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spans="1:26" ht="15.75" customHeight="1" x14ac:dyDescent="0.2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spans="1:26" ht="15.75" customHeight="1" x14ac:dyDescent="0.2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spans="1:26" ht="15.75" customHeight="1" x14ac:dyDescent="0.2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spans="1:26" ht="15.75" customHeight="1" x14ac:dyDescent="0.2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spans="1:26" ht="15.75" customHeight="1" x14ac:dyDescent="0.2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spans="1:26" ht="15.75" customHeight="1" x14ac:dyDescent="0.2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spans="1:26" ht="15.75" customHeight="1" x14ac:dyDescent="0.2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spans="1:26" ht="15.75" customHeight="1" x14ac:dyDescent="0.2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spans="1:26" ht="15.75" customHeight="1" x14ac:dyDescent="0.2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spans="1:26" ht="15.75" customHeight="1" x14ac:dyDescent="0.2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spans="1:26" ht="15.75" customHeight="1" x14ac:dyDescent="0.2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spans="1:26" ht="15.75" customHeight="1" x14ac:dyDescent="0.2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spans="1:26" ht="15.75" customHeight="1" x14ac:dyDescent="0.2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spans="1:26" ht="15.75" customHeight="1" x14ac:dyDescent="0.2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spans="1:26" ht="15.75" customHeight="1" x14ac:dyDescent="0.2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spans="1:26" ht="15.75" customHeight="1" x14ac:dyDescent="0.2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spans="1:26" ht="15.75" customHeight="1" x14ac:dyDescent="0.2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spans="1:26" ht="15.75" customHeight="1" x14ac:dyDescent="0.2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spans="1:26" ht="15.75" customHeight="1" x14ac:dyDescent="0.2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spans="1:26" ht="15.75" customHeight="1" x14ac:dyDescent="0.2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spans="1:26" ht="15.75" customHeight="1" x14ac:dyDescent="0.2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spans="1:26" ht="15.75" customHeight="1" x14ac:dyDescent="0.2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spans="1:26" ht="15.75" customHeight="1" x14ac:dyDescent="0.2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spans="1:26" ht="15.75" customHeight="1" x14ac:dyDescent="0.2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spans="1:26" ht="15.75" customHeight="1" x14ac:dyDescent="0.2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spans="1:26" ht="15.75" customHeight="1" x14ac:dyDescent="0.2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spans="1:26" ht="15.75" customHeight="1" x14ac:dyDescent="0.2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spans="1:26" ht="15.75" customHeight="1" x14ac:dyDescent="0.2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spans="1:26" ht="15.75" customHeight="1" x14ac:dyDescent="0.2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spans="1:26" ht="15.75" customHeight="1" x14ac:dyDescent="0.2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spans="1:26" ht="15.75" customHeight="1" x14ac:dyDescent="0.2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spans="1:26" ht="15.75" customHeight="1" x14ac:dyDescent="0.2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spans="1:26" ht="15.75" customHeight="1" x14ac:dyDescent="0.2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spans="1:26" ht="15.75" customHeight="1" x14ac:dyDescent="0.2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spans="1:26" ht="15.75" customHeight="1" x14ac:dyDescent="0.2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spans="1:26" ht="15.75" customHeight="1" x14ac:dyDescent="0.2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spans="1:26" ht="15.75" customHeight="1" x14ac:dyDescent="0.2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spans="1:26" ht="15.75" customHeight="1" x14ac:dyDescent="0.2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spans="1:26" ht="15.75" customHeight="1" x14ac:dyDescent="0.2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spans="1:26" ht="15.75" customHeight="1" x14ac:dyDescent="0.2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spans="1:26" ht="15.75" customHeight="1" x14ac:dyDescent="0.2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spans="1:26" ht="15.75" customHeight="1" x14ac:dyDescent="0.2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spans="1:26" ht="15.75" customHeight="1" x14ac:dyDescent="0.2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spans="1:26" ht="15.75" customHeight="1" x14ac:dyDescent="0.2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spans="1:26" ht="15.75" customHeight="1" x14ac:dyDescent="0.2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spans="1:26" ht="15.75" customHeight="1" x14ac:dyDescent="0.2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spans="1:26" ht="15.75" customHeight="1" x14ac:dyDescent="0.2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spans="1:26" ht="15.75" customHeight="1" x14ac:dyDescent="0.2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spans="1:26" ht="15.75" customHeight="1" x14ac:dyDescent="0.2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spans="1:26" ht="15.75" customHeight="1" x14ac:dyDescent="0.2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spans="1:26" ht="15.75" customHeight="1" x14ac:dyDescent="0.2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spans="1:26" ht="15.75" customHeight="1" x14ac:dyDescent="0.2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spans="1:26" ht="15.75" customHeight="1" x14ac:dyDescent="0.2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spans="1:26" ht="15.75" customHeight="1" x14ac:dyDescent="0.2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spans="1:26" ht="15.75" customHeight="1" x14ac:dyDescent="0.2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spans="1:26" ht="15.75" customHeight="1" x14ac:dyDescent="0.2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spans="1:26" ht="15.75" customHeight="1" x14ac:dyDescent="0.2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spans="1:26" ht="15.75" customHeight="1" x14ac:dyDescent="0.2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spans="1:26" ht="15.75" customHeight="1" x14ac:dyDescent="0.2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spans="1:26" ht="15.75" customHeight="1" x14ac:dyDescent="0.2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spans="1:26" ht="15.75" customHeight="1" x14ac:dyDescent="0.2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spans="1:26" ht="15.75" customHeight="1" x14ac:dyDescent="0.2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spans="1:26" ht="15.75" customHeight="1" x14ac:dyDescent="0.2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spans="1:26" ht="15.75" customHeight="1" x14ac:dyDescent="0.2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spans="1:26" ht="15.75" customHeight="1" x14ac:dyDescent="0.2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spans="1:26" ht="15.75" customHeight="1" x14ac:dyDescent="0.2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spans="1:26" ht="15.75" customHeight="1" x14ac:dyDescent="0.2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spans="1:26" ht="15.75" customHeight="1" x14ac:dyDescent="0.2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spans="1:26" ht="15.75" customHeight="1" x14ac:dyDescent="0.2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spans="1:26" ht="15.75" customHeight="1" x14ac:dyDescent="0.2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spans="1:26" ht="15.75" customHeight="1" x14ac:dyDescent="0.2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spans="1:26" ht="15.75" customHeight="1" x14ac:dyDescent="0.2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spans="1:26" ht="15.75" customHeight="1" x14ac:dyDescent="0.2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spans="1:26" ht="15.75" customHeight="1" x14ac:dyDescent="0.2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spans="1:26" ht="15.75" customHeight="1" x14ac:dyDescent="0.2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spans="1:26" ht="15.75" customHeight="1" x14ac:dyDescent="0.2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spans="1:26" ht="15.75" customHeight="1" x14ac:dyDescent="0.2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spans="1:26" ht="15.75" customHeight="1" x14ac:dyDescent="0.2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spans="1:26" ht="15.75" customHeight="1" x14ac:dyDescent="0.2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spans="1:26" ht="15.75" customHeight="1" x14ac:dyDescent="0.2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spans="1:26" ht="15.75" customHeight="1" x14ac:dyDescent="0.2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spans="1:26" ht="15.75" customHeight="1" x14ac:dyDescent="0.2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spans="1:26" ht="15.75" customHeight="1" x14ac:dyDescent="0.2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spans="1:26" ht="15.75" customHeight="1" x14ac:dyDescent="0.2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spans="1:26" ht="15.75" customHeight="1" x14ac:dyDescent="0.2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spans="1:26" ht="15.75" customHeight="1" x14ac:dyDescent="0.2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spans="1:26" ht="15.75" customHeight="1" x14ac:dyDescent="0.2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spans="1:26" ht="15.75" customHeight="1" x14ac:dyDescent="0.2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spans="1:26" ht="15.75" customHeight="1" x14ac:dyDescent="0.2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spans="1:26" ht="15.75" customHeight="1" x14ac:dyDescent="0.2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spans="1:26" ht="15.75" customHeight="1" x14ac:dyDescent="0.2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spans="1:26" ht="15.75" customHeight="1" x14ac:dyDescent="0.2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spans="1:26" ht="15.75" customHeight="1" x14ac:dyDescent="0.2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spans="1:26" ht="15.75" customHeight="1" x14ac:dyDescent="0.2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spans="1:26" ht="15.75" customHeight="1" x14ac:dyDescent="0.2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spans="1:26" ht="15.75" customHeight="1" x14ac:dyDescent="0.2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spans="1:26" ht="15.75" customHeight="1" x14ac:dyDescent="0.2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spans="1:26" ht="15.75" customHeight="1" x14ac:dyDescent="0.2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spans="1:26" ht="15.75" customHeight="1" x14ac:dyDescent="0.2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spans="1:26" ht="15.75" customHeight="1" x14ac:dyDescent="0.2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spans="1:26" ht="15.75" customHeight="1" x14ac:dyDescent="0.2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spans="1:26" ht="15.75" customHeight="1" x14ac:dyDescent="0.2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spans="1:26" ht="15.75" customHeight="1" x14ac:dyDescent="0.2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spans="1:26" ht="15.75" customHeight="1" x14ac:dyDescent="0.2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spans="1:26" ht="15.75" customHeight="1" x14ac:dyDescent="0.2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spans="1:26" ht="15.75" customHeight="1" x14ac:dyDescent="0.2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spans="1:26" ht="15.75" customHeight="1" x14ac:dyDescent="0.2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spans="1:26" ht="15.75" customHeight="1" x14ac:dyDescent="0.2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spans="1:26" ht="15.75" customHeight="1" x14ac:dyDescent="0.2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spans="1:26" ht="15.75" customHeight="1" x14ac:dyDescent="0.2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spans="1:26" ht="15.75" customHeight="1" x14ac:dyDescent="0.2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spans="1:26" ht="15.75" customHeight="1" x14ac:dyDescent="0.2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spans="1:26" ht="15.75" customHeight="1" x14ac:dyDescent="0.2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spans="1:26" ht="15.75" customHeight="1" x14ac:dyDescent="0.2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spans="1:26" ht="15.75" customHeight="1" x14ac:dyDescent="0.2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spans="1:26" ht="15.75" customHeight="1" x14ac:dyDescent="0.2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spans="1:26" ht="15.75" customHeight="1" x14ac:dyDescent="0.2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spans="1:26" ht="15.75" customHeight="1" x14ac:dyDescent="0.2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spans="1:26" ht="15.75" customHeight="1" x14ac:dyDescent="0.2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spans="1:26" ht="15.75" customHeight="1" x14ac:dyDescent="0.2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spans="1:26" ht="15.75" customHeight="1" x14ac:dyDescent="0.2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spans="1:26" ht="15.75" customHeight="1" x14ac:dyDescent="0.2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spans="1:26" ht="15.75" customHeight="1" x14ac:dyDescent="0.2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spans="1:26" ht="15.75" customHeight="1" x14ac:dyDescent="0.2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spans="1:26" ht="15.75" customHeight="1" x14ac:dyDescent="0.2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spans="1:26" ht="15.75" customHeight="1" x14ac:dyDescent="0.2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spans="1:26" ht="15.75" customHeight="1" x14ac:dyDescent="0.2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spans="1:26" ht="15.75" customHeight="1" x14ac:dyDescent="0.2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spans="1:26" ht="15.75" customHeight="1" x14ac:dyDescent="0.2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spans="1:26" ht="15.75" customHeight="1" x14ac:dyDescent="0.2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spans="1:26" ht="15.75" customHeight="1" x14ac:dyDescent="0.2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spans="1:26" ht="15.75" customHeight="1" x14ac:dyDescent="0.2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spans="1:26" ht="15.75" customHeight="1" x14ac:dyDescent="0.2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spans="1:26" ht="15.75" customHeight="1" x14ac:dyDescent="0.2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spans="1:26" ht="15.75" customHeight="1" x14ac:dyDescent="0.2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spans="1:26" ht="15.75" customHeight="1" x14ac:dyDescent="0.2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spans="1:26" ht="15.75" customHeight="1" x14ac:dyDescent="0.2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spans="1:26" ht="15.75" customHeight="1" x14ac:dyDescent="0.2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spans="1:26" ht="15.75" customHeight="1" x14ac:dyDescent="0.2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spans="1:26" ht="15.75" customHeight="1" x14ac:dyDescent="0.2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spans="1:26" ht="15.75" customHeight="1" x14ac:dyDescent="0.2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spans="1:26" ht="15.75" customHeight="1" x14ac:dyDescent="0.2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spans="1:26" ht="15.75" customHeight="1" x14ac:dyDescent="0.2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spans="1:26" ht="15.75" customHeight="1" x14ac:dyDescent="0.2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spans="1:26" ht="15.75" customHeight="1" x14ac:dyDescent="0.2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spans="1:26" ht="15.75" customHeight="1" x14ac:dyDescent="0.2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spans="1:26" ht="15.75" customHeight="1" x14ac:dyDescent="0.2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spans="1:26" ht="15.75" customHeight="1" x14ac:dyDescent="0.2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spans="1:26" ht="15.75" customHeight="1" x14ac:dyDescent="0.2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spans="1:26" ht="15.75" customHeight="1" x14ac:dyDescent="0.2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spans="1:26" ht="15.75" customHeight="1" x14ac:dyDescent="0.2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spans="1:26" ht="15.75" customHeight="1" x14ac:dyDescent="0.2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spans="1:26" ht="15.75" customHeight="1" x14ac:dyDescent="0.2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spans="1:26" ht="15.75" customHeight="1" x14ac:dyDescent="0.2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spans="1:26" ht="15.75" customHeight="1" x14ac:dyDescent="0.2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spans="1:26" ht="15.75" customHeight="1" x14ac:dyDescent="0.2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spans="1:26" ht="15.75" customHeight="1" x14ac:dyDescent="0.2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spans="1:26" ht="15.75" customHeight="1" x14ac:dyDescent="0.2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spans="1:26" ht="15.75" customHeight="1" x14ac:dyDescent="0.2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spans="1:26" ht="15.75" customHeight="1" x14ac:dyDescent="0.2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spans="1:26" ht="15.75" customHeight="1" x14ac:dyDescent="0.2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spans="1:26" ht="15.75" customHeight="1" x14ac:dyDescent="0.2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spans="1:26" ht="15.75" customHeight="1" x14ac:dyDescent="0.2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spans="1:26" ht="15.75" customHeight="1" x14ac:dyDescent="0.2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spans="1:26" ht="15.75" customHeight="1" x14ac:dyDescent="0.2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spans="1:26" ht="15.75" customHeight="1" x14ac:dyDescent="0.2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spans="1:26" ht="15.75" customHeight="1" x14ac:dyDescent="0.2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spans="1:26" ht="15.75" customHeight="1" x14ac:dyDescent="0.2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spans="1:26" ht="15.75" customHeight="1" x14ac:dyDescent="0.2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spans="1:26" ht="15.75" customHeight="1" x14ac:dyDescent="0.2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spans="1:26" ht="15.75" customHeight="1" x14ac:dyDescent="0.2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spans="1:26" ht="15.75" customHeight="1" x14ac:dyDescent="0.2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spans="1:26" ht="15.75" customHeight="1" x14ac:dyDescent="0.2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spans="1:26" ht="15.75" customHeight="1" x14ac:dyDescent="0.2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spans="1:26" ht="15.75" customHeight="1" x14ac:dyDescent="0.2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spans="1:26" ht="15.75" customHeight="1" x14ac:dyDescent="0.2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spans="1:26" ht="15.75" customHeight="1" x14ac:dyDescent="0.2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spans="1:26" ht="15.75" customHeight="1" x14ac:dyDescent="0.2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spans="1:26" ht="15.75" customHeight="1" x14ac:dyDescent="0.2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spans="1:26" ht="15.75" customHeight="1" x14ac:dyDescent="0.2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spans="1:26" ht="15.75" customHeight="1" x14ac:dyDescent="0.2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spans="1:26" ht="15.75" customHeight="1" x14ac:dyDescent="0.2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spans="1:26" ht="15.75" customHeight="1" x14ac:dyDescent="0.2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spans="1:26" ht="15.75" customHeight="1" x14ac:dyDescent="0.2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spans="1:26" ht="15.75" customHeight="1" x14ac:dyDescent="0.2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spans="1:26" ht="15.75" customHeight="1" x14ac:dyDescent="0.2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spans="1:26" ht="15.75" customHeight="1" x14ac:dyDescent="0.2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spans="1:26" ht="15.75" customHeight="1" x14ac:dyDescent="0.2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spans="1:26" ht="15.75" customHeight="1" x14ac:dyDescent="0.2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spans="1:26" ht="15.75" customHeight="1" x14ac:dyDescent="0.2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spans="1:26" ht="15.75" customHeight="1" x14ac:dyDescent="0.2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spans="1:26" ht="15.75" customHeight="1" x14ac:dyDescent="0.2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spans="1:26" ht="15.75" customHeight="1" x14ac:dyDescent="0.2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spans="1:26" ht="15.75" customHeight="1" x14ac:dyDescent="0.2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spans="1:26" ht="15.75" customHeight="1" x14ac:dyDescent="0.2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spans="1:26" ht="15.75" customHeight="1" x14ac:dyDescent="0.2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spans="1:26" ht="15.75" customHeight="1" x14ac:dyDescent="0.2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spans="1:26" ht="15.75" customHeight="1" x14ac:dyDescent="0.2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spans="1:26" ht="15.75" customHeight="1" x14ac:dyDescent="0.2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spans="1:26" ht="15.75" customHeight="1" x14ac:dyDescent="0.2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spans="1:26" ht="15.75" customHeight="1" x14ac:dyDescent="0.2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spans="1:26" ht="15.75" customHeight="1" x14ac:dyDescent="0.2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spans="1:26" ht="15.75" customHeight="1" x14ac:dyDescent="0.2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spans="1:26" ht="15.75" customHeight="1" x14ac:dyDescent="0.2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spans="1:26" ht="15.75" customHeight="1" x14ac:dyDescent="0.2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spans="1:26" ht="15.75" customHeight="1" x14ac:dyDescent="0.2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spans="1:26" ht="15.75" customHeight="1" x14ac:dyDescent="0.2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spans="1:26" ht="15.75" customHeight="1" x14ac:dyDescent="0.2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spans="1:26" ht="15.75" customHeight="1" x14ac:dyDescent="0.2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spans="1:26" ht="15.75" customHeight="1" x14ac:dyDescent="0.2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spans="1:26" ht="15.75" customHeight="1" x14ac:dyDescent="0.2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</sheetData>
  <mergeCells count="1">
    <mergeCell ref="A1:M1"/>
  </mergeCells>
  <conditionalFormatting sqref="B3:B6">
    <cfRule type="cellIs" dxfId="7" priority="1" operator="equal">
      <formula>"1/2bbl"</formula>
    </cfRule>
    <cfRule type="cellIs" dxfId="6" priority="2" operator="equal">
      <formula>"1/4bbl"</formula>
    </cfRule>
    <cfRule type="cellIs" dxfId="5" priority="3" operator="equal">
      <formula>"1/6bbl"</formula>
    </cfRule>
  </conditionalFormatting>
  <conditionalFormatting sqref="B7:B31">
    <cfRule type="cellIs" dxfId="4" priority="4" operator="equal">
      <formula>"Can"</formula>
    </cfRule>
    <cfRule type="cellIs" dxfId="3" priority="5" operator="equal">
      <formula>"Bottle"</formula>
    </cfRule>
  </conditionalFormatting>
  <conditionalFormatting sqref="C3:C6">
    <cfRule type="cellIs" dxfId="2" priority="6" operator="equal">
      <formula>1984</formula>
    </cfRule>
    <cfRule type="cellIs" dxfId="1" priority="7" operator="equal">
      <formula>992</formula>
    </cfRule>
    <cfRule type="cellIs" dxfId="0" priority="8" operator="equal">
      <formula>640</formula>
    </cfRule>
  </conditionalFormatting>
  <dataValidations count="6">
    <dataValidation type="list" allowBlank="1" showErrorMessage="1" sqref="C7:C9 C12:C16 C23:C26" xr:uid="{00000000-0002-0000-0300-000000000000}">
      <formula1>"12"</formula1>
    </dataValidation>
    <dataValidation type="list" allowBlank="1" showErrorMessage="1" sqref="C10:C11 C17:C22" xr:uid="{00000000-0002-0000-0300-000001000000}">
      <formula1>"12,16,8.4,7"</formula1>
    </dataValidation>
    <dataValidation type="list" allowBlank="1" showErrorMessage="1" sqref="C3:C6" xr:uid="{00000000-0002-0000-0300-000002000000}">
      <formula1>"640,992,1984"</formula1>
    </dataValidation>
    <dataValidation type="list" allowBlank="1" showErrorMessage="1" sqref="B3:B6" xr:uid="{00000000-0002-0000-0300-000003000000}">
      <formula1>"1/6bbl,1/4bbl,1/2bbl"</formula1>
    </dataValidation>
    <dataValidation type="list" allowBlank="1" showErrorMessage="1" sqref="C27:C31" xr:uid="{00000000-0002-0000-0300-000004000000}">
      <formula1>"12,6.76,8.4"</formula1>
    </dataValidation>
    <dataValidation type="list" allowBlank="1" showErrorMessage="1" sqref="B7:B31" xr:uid="{00000000-0002-0000-0300-000005000000}">
      <formula1>"Bottle,Can"</formula1>
    </dataValidation>
  </dataValidations>
  <printOptions gridLines="1"/>
  <pageMargins left="0.7" right="0.7" top="0.75" bottom="0.75" header="0" footer="0"/>
  <pageSetup scale="77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000"/>
  <sheetViews>
    <sheetView workbookViewId="0"/>
  </sheetViews>
  <sheetFormatPr defaultColWidth="14.390625" defaultRowHeight="15" customHeight="1" x14ac:dyDescent="0.2"/>
  <cols>
    <col min="1" max="1" width="18.96484375" customWidth="1"/>
    <col min="2" max="2" width="7.3984375" customWidth="1"/>
    <col min="3" max="3" width="8.875" customWidth="1"/>
    <col min="5" max="5" width="13.046875" customWidth="1"/>
    <col min="6" max="6" width="12.375" customWidth="1"/>
    <col min="7" max="7" width="11.43359375" customWidth="1"/>
    <col min="8" max="8" width="10.89453125" customWidth="1"/>
    <col min="9" max="9" width="9.68359375" customWidth="1"/>
    <col min="10" max="10" width="12.375" customWidth="1"/>
    <col min="11" max="16" width="8.875" customWidth="1"/>
  </cols>
  <sheetData>
    <row r="1" spans="1:16" ht="36.75" x14ac:dyDescent="0.5">
      <c r="A1" s="354" t="s">
        <v>555</v>
      </c>
      <c r="B1" s="352"/>
      <c r="C1" s="352"/>
      <c r="D1" s="352"/>
      <c r="E1" s="352"/>
      <c r="F1" s="352"/>
      <c r="G1" s="352"/>
      <c r="H1" s="352"/>
      <c r="I1" s="352"/>
      <c r="J1" s="352"/>
    </row>
    <row r="2" spans="1:16" x14ac:dyDescent="0.2">
      <c r="A2" s="209" t="s">
        <v>556</v>
      </c>
      <c r="B2" s="209" t="s">
        <v>557</v>
      </c>
      <c r="C2" s="210" t="s">
        <v>445</v>
      </c>
      <c r="D2" s="210" t="s">
        <v>446</v>
      </c>
      <c r="E2" s="209" t="s">
        <v>9</v>
      </c>
      <c r="F2" s="209" t="s">
        <v>10</v>
      </c>
      <c r="G2" s="209" t="s">
        <v>516</v>
      </c>
      <c r="H2" s="209" t="s">
        <v>558</v>
      </c>
      <c r="I2" s="209" t="s">
        <v>12</v>
      </c>
      <c r="J2" s="210" t="s">
        <v>13</v>
      </c>
    </row>
    <row r="3" spans="1:16" x14ac:dyDescent="0.2">
      <c r="A3" s="211" t="s">
        <v>559</v>
      </c>
      <c r="B3" s="211" t="s">
        <v>560</v>
      </c>
      <c r="C3" s="212"/>
      <c r="D3" s="212"/>
      <c r="E3" s="212"/>
      <c r="F3" s="213"/>
      <c r="G3" s="212"/>
      <c r="H3" s="213"/>
      <c r="I3" s="211"/>
      <c r="J3" s="211">
        <f t="shared" ref="J3:J23" si="0">I3*C3</f>
        <v>0</v>
      </c>
      <c r="P3" s="113"/>
    </row>
    <row r="4" spans="1:16" x14ac:dyDescent="0.2">
      <c r="A4" s="214" t="s">
        <v>561</v>
      </c>
      <c r="B4" s="214" t="s">
        <v>562</v>
      </c>
      <c r="C4" s="215"/>
      <c r="D4" s="215"/>
      <c r="E4" s="215"/>
      <c r="F4" s="216"/>
      <c r="G4" s="215"/>
      <c r="H4" s="216"/>
      <c r="I4" s="214"/>
      <c r="J4" s="214">
        <f t="shared" si="0"/>
        <v>0</v>
      </c>
    </row>
    <row r="5" spans="1:16" x14ac:dyDescent="0.2">
      <c r="A5" s="211" t="s">
        <v>563</v>
      </c>
      <c r="B5" s="211" t="s">
        <v>564</v>
      </c>
      <c r="C5" s="212"/>
      <c r="D5" s="212"/>
      <c r="E5" s="212"/>
      <c r="F5" s="213"/>
      <c r="G5" s="212"/>
      <c r="H5" s="213"/>
      <c r="I5" s="211"/>
      <c r="J5" s="211">
        <f t="shared" si="0"/>
        <v>0</v>
      </c>
    </row>
    <row r="6" spans="1:16" x14ac:dyDescent="0.2">
      <c r="A6" s="214" t="s">
        <v>565</v>
      </c>
      <c r="B6" s="214" t="s">
        <v>560</v>
      </c>
      <c r="C6" s="215"/>
      <c r="D6" s="215"/>
      <c r="E6" s="215"/>
      <c r="F6" s="216"/>
      <c r="G6" s="215"/>
      <c r="H6" s="216"/>
      <c r="I6" s="214"/>
      <c r="J6" s="214">
        <f t="shared" si="0"/>
        <v>0</v>
      </c>
    </row>
    <row r="7" spans="1:16" x14ac:dyDescent="0.2">
      <c r="A7" s="211" t="s">
        <v>566</v>
      </c>
      <c r="B7" s="211" t="s">
        <v>560</v>
      </c>
      <c r="C7" s="212"/>
      <c r="D7" s="212"/>
      <c r="E7" s="212"/>
      <c r="F7" s="213"/>
      <c r="G7" s="212"/>
      <c r="H7" s="213"/>
      <c r="I7" s="211"/>
      <c r="J7" s="211">
        <f t="shared" si="0"/>
        <v>0</v>
      </c>
    </row>
    <row r="8" spans="1:16" x14ac:dyDescent="0.2">
      <c r="A8" s="214" t="s">
        <v>567</v>
      </c>
      <c r="B8" s="214" t="s">
        <v>568</v>
      </c>
      <c r="C8" s="215"/>
      <c r="D8" s="215"/>
      <c r="E8" s="215"/>
      <c r="F8" s="216"/>
      <c r="G8" s="215"/>
      <c r="H8" s="216"/>
      <c r="I8" s="214"/>
      <c r="J8" s="214">
        <f t="shared" si="0"/>
        <v>0</v>
      </c>
    </row>
    <row r="9" spans="1:16" x14ac:dyDescent="0.2">
      <c r="A9" s="211" t="s">
        <v>569</v>
      </c>
      <c r="B9" s="211"/>
      <c r="C9" s="212"/>
      <c r="D9" s="212"/>
      <c r="E9" s="212"/>
      <c r="F9" s="213"/>
      <c r="G9" s="212"/>
      <c r="H9" s="213"/>
      <c r="I9" s="211"/>
      <c r="J9" s="211">
        <f t="shared" si="0"/>
        <v>0</v>
      </c>
    </row>
    <row r="10" spans="1:16" x14ac:dyDescent="0.2">
      <c r="A10" s="214" t="s">
        <v>570</v>
      </c>
      <c r="B10" s="214"/>
      <c r="C10" s="215"/>
      <c r="D10" s="215"/>
      <c r="E10" s="217"/>
      <c r="F10" s="216"/>
      <c r="G10" s="215"/>
      <c r="H10" s="216"/>
      <c r="I10" s="214"/>
      <c r="J10" s="214">
        <f t="shared" si="0"/>
        <v>0</v>
      </c>
    </row>
    <row r="11" spans="1:16" x14ac:dyDescent="0.2">
      <c r="A11" s="211" t="s">
        <v>571</v>
      </c>
      <c r="B11" s="211"/>
      <c r="C11" s="212"/>
      <c r="D11" s="212"/>
      <c r="E11" s="212"/>
      <c r="F11" s="213"/>
      <c r="G11" s="212"/>
      <c r="H11" s="213"/>
      <c r="I11" s="211"/>
      <c r="J11" s="211">
        <f t="shared" si="0"/>
        <v>0</v>
      </c>
    </row>
    <row r="12" spans="1:16" x14ac:dyDescent="0.2">
      <c r="A12" s="214" t="s">
        <v>41</v>
      </c>
      <c r="B12" s="214"/>
      <c r="C12" s="215"/>
      <c r="D12" s="215"/>
      <c r="E12" s="217"/>
      <c r="F12" s="216"/>
      <c r="G12" s="215"/>
      <c r="H12" s="216"/>
      <c r="I12" s="214"/>
      <c r="J12" s="214">
        <f t="shared" si="0"/>
        <v>0</v>
      </c>
    </row>
    <row r="13" spans="1:16" x14ac:dyDescent="0.2">
      <c r="A13" s="211" t="s">
        <v>572</v>
      </c>
      <c r="B13" s="211" t="s">
        <v>568</v>
      </c>
      <c r="C13" s="212"/>
      <c r="D13" s="212"/>
      <c r="E13" s="212"/>
      <c r="F13" s="213"/>
      <c r="G13" s="212"/>
      <c r="H13" s="213"/>
      <c r="I13" s="211"/>
      <c r="J13" s="211">
        <f t="shared" si="0"/>
        <v>0</v>
      </c>
    </row>
    <row r="14" spans="1:16" x14ac:dyDescent="0.2">
      <c r="A14" s="214" t="s">
        <v>573</v>
      </c>
      <c r="B14" s="214" t="s">
        <v>574</v>
      </c>
      <c r="C14" s="215"/>
      <c r="D14" s="215"/>
      <c r="E14" s="217"/>
      <c r="F14" s="216"/>
      <c r="G14" s="215"/>
      <c r="H14" s="216"/>
      <c r="I14" s="214"/>
      <c r="J14" s="214">
        <f t="shared" si="0"/>
        <v>0</v>
      </c>
    </row>
    <row r="15" spans="1:16" x14ac:dyDescent="0.2">
      <c r="A15" s="211" t="s">
        <v>575</v>
      </c>
      <c r="B15" s="211" t="s">
        <v>568</v>
      </c>
      <c r="C15" s="212"/>
      <c r="D15" s="212"/>
      <c r="E15" s="212"/>
      <c r="F15" s="213"/>
      <c r="G15" s="212"/>
      <c r="H15" s="213"/>
      <c r="I15" s="211"/>
      <c r="J15" s="211">
        <f t="shared" si="0"/>
        <v>0</v>
      </c>
    </row>
    <row r="16" spans="1:16" x14ac:dyDescent="0.2">
      <c r="A16" s="214" t="s">
        <v>576</v>
      </c>
      <c r="B16" s="214" t="s">
        <v>568</v>
      </c>
      <c r="C16" s="215"/>
      <c r="D16" s="215"/>
      <c r="E16" s="217"/>
      <c r="F16" s="216"/>
      <c r="G16" s="215"/>
      <c r="H16" s="216"/>
      <c r="I16" s="214"/>
      <c r="J16" s="214">
        <f t="shared" si="0"/>
        <v>0</v>
      </c>
    </row>
    <row r="17" spans="1:10" x14ac:dyDescent="0.2">
      <c r="A17" s="211" t="s">
        <v>577</v>
      </c>
      <c r="B17" s="211" t="s">
        <v>578</v>
      </c>
      <c r="C17" s="212"/>
      <c r="D17" s="212"/>
      <c r="E17" s="212"/>
      <c r="F17" s="213"/>
      <c r="G17" s="212"/>
      <c r="H17" s="213"/>
      <c r="I17" s="211"/>
      <c r="J17" s="211">
        <f t="shared" si="0"/>
        <v>0</v>
      </c>
    </row>
    <row r="18" spans="1:10" x14ac:dyDescent="0.2">
      <c r="A18" s="218" t="s">
        <v>579</v>
      </c>
      <c r="B18" s="218" t="s">
        <v>578</v>
      </c>
      <c r="C18" s="219"/>
      <c r="D18" s="219"/>
      <c r="E18" s="219"/>
      <c r="F18" s="220"/>
      <c r="G18" s="219"/>
      <c r="H18" s="220"/>
      <c r="I18" s="218"/>
      <c r="J18" s="218">
        <f t="shared" si="0"/>
        <v>0</v>
      </c>
    </row>
    <row r="19" spans="1:10" x14ac:dyDescent="0.2">
      <c r="A19" s="211" t="s">
        <v>580</v>
      </c>
      <c r="B19" s="211" t="s">
        <v>578</v>
      </c>
      <c r="C19" s="212"/>
      <c r="D19" s="212"/>
      <c r="E19" s="212"/>
      <c r="F19" s="213"/>
      <c r="G19" s="212"/>
      <c r="H19" s="213"/>
      <c r="I19" s="211"/>
      <c r="J19" s="211">
        <f t="shared" si="0"/>
        <v>0</v>
      </c>
    </row>
    <row r="20" spans="1:10" x14ac:dyDescent="0.2">
      <c r="A20" s="218" t="s">
        <v>581</v>
      </c>
      <c r="B20" s="218" t="s">
        <v>582</v>
      </c>
      <c r="C20" s="219"/>
      <c r="D20" s="219"/>
      <c r="E20" s="219"/>
      <c r="F20" s="220"/>
      <c r="G20" s="219"/>
      <c r="H20" s="220"/>
      <c r="I20" s="218"/>
      <c r="J20" s="218">
        <f t="shared" si="0"/>
        <v>0</v>
      </c>
    </row>
    <row r="21" spans="1:10" ht="15.75" customHeight="1" x14ac:dyDescent="0.2">
      <c r="A21" s="211" t="s">
        <v>583</v>
      </c>
      <c r="B21" s="211" t="s">
        <v>578</v>
      </c>
      <c r="C21" s="212"/>
      <c r="D21" s="212"/>
      <c r="E21" s="212"/>
      <c r="F21" s="213"/>
      <c r="G21" s="212"/>
      <c r="H21" s="213"/>
      <c r="I21" s="211"/>
      <c r="J21" s="211">
        <f t="shared" si="0"/>
        <v>0</v>
      </c>
    </row>
    <row r="22" spans="1:10" ht="15.75" customHeight="1" x14ac:dyDescent="0.2">
      <c r="A22" s="218" t="s">
        <v>584</v>
      </c>
      <c r="B22" s="218" t="s">
        <v>578</v>
      </c>
      <c r="C22" s="219"/>
      <c r="D22" s="219"/>
      <c r="E22" s="219"/>
      <c r="F22" s="220"/>
      <c r="G22" s="219"/>
      <c r="H22" s="220"/>
      <c r="I22" s="218"/>
      <c r="J22" s="218">
        <f t="shared" si="0"/>
        <v>0</v>
      </c>
    </row>
    <row r="23" spans="1:10" ht="15.75" customHeight="1" x14ac:dyDescent="0.2">
      <c r="A23" s="211" t="s">
        <v>585</v>
      </c>
      <c r="B23" s="211" t="s">
        <v>578</v>
      </c>
      <c r="C23" s="212"/>
      <c r="D23" s="212"/>
      <c r="E23" s="212"/>
      <c r="F23" s="213"/>
      <c r="G23" s="212"/>
      <c r="H23" s="213"/>
      <c r="I23" s="211"/>
      <c r="J23" s="211">
        <f t="shared" si="0"/>
        <v>0</v>
      </c>
    </row>
    <row r="24" spans="1:10" ht="15.75" customHeight="1" x14ac:dyDescent="0.2">
      <c r="C24" s="113"/>
      <c r="J24" s="113"/>
    </row>
    <row r="25" spans="1:10" ht="15.75" customHeight="1" x14ac:dyDescent="0.2">
      <c r="C25" s="113"/>
      <c r="J25" s="113"/>
    </row>
    <row r="26" spans="1:10" ht="15.75" customHeight="1" x14ac:dyDescent="0.2">
      <c r="C26" s="113"/>
      <c r="J26" s="113"/>
    </row>
    <row r="27" spans="1:10" ht="15.75" customHeight="1" x14ac:dyDescent="0.2">
      <c r="C27" s="113"/>
      <c r="J27" s="113"/>
    </row>
    <row r="28" spans="1:10" ht="15.75" customHeight="1" x14ac:dyDescent="0.2">
      <c r="C28" s="113"/>
      <c r="J28" s="113"/>
    </row>
    <row r="29" spans="1:10" ht="15.75" customHeight="1" x14ac:dyDescent="0.2">
      <c r="C29" s="113"/>
      <c r="J29" s="113"/>
    </row>
    <row r="30" spans="1:10" ht="15.75" customHeight="1" x14ac:dyDescent="0.2">
      <c r="C30" s="113"/>
      <c r="J30" s="113"/>
    </row>
    <row r="31" spans="1:10" ht="15.75" customHeight="1" x14ac:dyDescent="0.2">
      <c r="C31" s="113"/>
      <c r="J31" s="113"/>
    </row>
    <row r="32" spans="1:10" ht="15.75" customHeight="1" x14ac:dyDescent="0.2">
      <c r="C32" s="113"/>
      <c r="J32" s="113"/>
    </row>
    <row r="33" spans="3:10" ht="15.75" customHeight="1" x14ac:dyDescent="0.2">
      <c r="C33" s="113"/>
      <c r="J33" s="113"/>
    </row>
    <row r="34" spans="3:10" ht="15.75" customHeight="1" x14ac:dyDescent="0.2">
      <c r="C34" s="113"/>
      <c r="J34" s="113"/>
    </row>
    <row r="35" spans="3:10" ht="15.75" customHeight="1" x14ac:dyDescent="0.2">
      <c r="C35" s="113"/>
      <c r="J35" s="113"/>
    </row>
    <row r="36" spans="3:10" ht="15.75" customHeight="1" x14ac:dyDescent="0.2">
      <c r="C36" s="113"/>
      <c r="J36" s="113"/>
    </row>
    <row r="37" spans="3:10" ht="15.75" customHeight="1" x14ac:dyDescent="0.2">
      <c r="C37" s="113"/>
      <c r="J37" s="113"/>
    </row>
    <row r="38" spans="3:10" ht="15.75" customHeight="1" x14ac:dyDescent="0.2">
      <c r="C38" s="113"/>
      <c r="J38" s="113"/>
    </row>
    <row r="39" spans="3:10" ht="15.75" customHeight="1" x14ac:dyDescent="0.2">
      <c r="C39" s="113"/>
      <c r="J39" s="113"/>
    </row>
    <row r="40" spans="3:10" ht="15.75" customHeight="1" x14ac:dyDescent="0.2">
      <c r="C40" s="113"/>
      <c r="J40" s="113"/>
    </row>
    <row r="41" spans="3:10" ht="15.75" customHeight="1" x14ac:dyDescent="0.2">
      <c r="C41" s="113"/>
      <c r="J41" s="113"/>
    </row>
    <row r="42" spans="3:10" ht="15.75" customHeight="1" x14ac:dyDescent="0.2">
      <c r="C42" s="113"/>
      <c r="J42" s="113"/>
    </row>
    <row r="43" spans="3:10" ht="15.75" customHeight="1" x14ac:dyDescent="0.2">
      <c r="C43" s="113"/>
      <c r="J43" s="113"/>
    </row>
    <row r="44" spans="3:10" ht="15.75" customHeight="1" x14ac:dyDescent="0.2">
      <c r="C44" s="113"/>
      <c r="J44" s="113"/>
    </row>
    <row r="45" spans="3:10" ht="15.75" customHeight="1" x14ac:dyDescent="0.2">
      <c r="C45" s="113"/>
      <c r="J45" s="113"/>
    </row>
    <row r="46" spans="3:10" ht="15.75" customHeight="1" x14ac:dyDescent="0.2">
      <c r="C46" s="113"/>
      <c r="J46" s="113"/>
    </row>
    <row r="47" spans="3:10" ht="15.75" customHeight="1" x14ac:dyDescent="0.2">
      <c r="C47" s="113"/>
      <c r="J47" s="113"/>
    </row>
    <row r="48" spans="3:10" ht="15.75" customHeight="1" x14ac:dyDescent="0.2">
      <c r="C48" s="113"/>
      <c r="J48" s="113"/>
    </row>
    <row r="49" spans="3:10" ht="15.75" customHeight="1" x14ac:dyDescent="0.2">
      <c r="C49" s="113"/>
      <c r="J49" s="113"/>
    </row>
    <row r="50" spans="3:10" ht="15.75" customHeight="1" x14ac:dyDescent="0.2">
      <c r="C50" s="113"/>
      <c r="J50" s="113"/>
    </row>
    <row r="51" spans="3:10" ht="15.75" customHeight="1" x14ac:dyDescent="0.2">
      <c r="C51" s="113"/>
      <c r="J51" s="113"/>
    </row>
    <row r="52" spans="3:10" ht="15.75" customHeight="1" x14ac:dyDescent="0.2">
      <c r="C52" s="113"/>
      <c r="J52" s="113"/>
    </row>
    <row r="53" spans="3:10" ht="15.75" customHeight="1" x14ac:dyDescent="0.2">
      <c r="C53" s="113"/>
      <c r="J53" s="113"/>
    </row>
    <row r="54" spans="3:10" ht="15.75" customHeight="1" x14ac:dyDescent="0.2">
      <c r="C54" s="113"/>
      <c r="J54" s="113"/>
    </row>
    <row r="55" spans="3:10" ht="15.75" customHeight="1" x14ac:dyDescent="0.2">
      <c r="C55" s="113"/>
      <c r="J55" s="113"/>
    </row>
    <row r="56" spans="3:10" ht="15.75" customHeight="1" x14ac:dyDescent="0.2">
      <c r="C56" s="113"/>
      <c r="J56" s="113"/>
    </row>
    <row r="57" spans="3:10" ht="15.75" customHeight="1" x14ac:dyDescent="0.2">
      <c r="C57" s="113"/>
      <c r="J57" s="113"/>
    </row>
    <row r="58" spans="3:10" ht="15.75" customHeight="1" x14ac:dyDescent="0.2">
      <c r="C58" s="113"/>
      <c r="J58" s="113"/>
    </row>
    <row r="59" spans="3:10" ht="15.75" customHeight="1" x14ac:dyDescent="0.2">
      <c r="C59" s="113"/>
      <c r="J59" s="113"/>
    </row>
    <row r="60" spans="3:10" ht="15.75" customHeight="1" x14ac:dyDescent="0.2">
      <c r="C60" s="113"/>
      <c r="J60" s="113"/>
    </row>
    <row r="61" spans="3:10" ht="15.75" customHeight="1" x14ac:dyDescent="0.2">
      <c r="C61" s="113"/>
      <c r="J61" s="113"/>
    </row>
    <row r="62" spans="3:10" ht="15.75" customHeight="1" x14ac:dyDescent="0.2">
      <c r="C62" s="113"/>
      <c r="J62" s="113"/>
    </row>
    <row r="63" spans="3:10" ht="15.75" customHeight="1" x14ac:dyDescent="0.2">
      <c r="C63" s="113"/>
      <c r="J63" s="113"/>
    </row>
    <row r="64" spans="3:10" ht="15.75" customHeight="1" x14ac:dyDescent="0.2">
      <c r="C64" s="113"/>
      <c r="J64" s="113"/>
    </row>
    <row r="65" spans="3:10" ht="15.75" customHeight="1" x14ac:dyDescent="0.2">
      <c r="C65" s="113"/>
      <c r="J65" s="113"/>
    </row>
    <row r="66" spans="3:10" ht="15.75" customHeight="1" x14ac:dyDescent="0.2">
      <c r="C66" s="113"/>
      <c r="J66" s="113"/>
    </row>
    <row r="67" spans="3:10" ht="15.75" customHeight="1" x14ac:dyDescent="0.2">
      <c r="C67" s="113"/>
      <c r="J67" s="113"/>
    </row>
    <row r="68" spans="3:10" ht="15.75" customHeight="1" x14ac:dyDescent="0.2">
      <c r="C68" s="113"/>
      <c r="J68" s="113"/>
    </row>
    <row r="69" spans="3:10" ht="15.75" customHeight="1" x14ac:dyDescent="0.2">
      <c r="C69" s="113"/>
      <c r="J69" s="113"/>
    </row>
    <row r="70" spans="3:10" ht="15.75" customHeight="1" x14ac:dyDescent="0.2">
      <c r="C70" s="113"/>
      <c r="J70" s="113"/>
    </row>
    <row r="71" spans="3:10" ht="15.75" customHeight="1" x14ac:dyDescent="0.2">
      <c r="C71" s="113"/>
      <c r="J71" s="113"/>
    </row>
    <row r="72" spans="3:10" ht="15.75" customHeight="1" x14ac:dyDescent="0.2">
      <c r="C72" s="113"/>
      <c r="J72" s="113"/>
    </row>
    <row r="73" spans="3:10" ht="15.75" customHeight="1" x14ac:dyDescent="0.2">
      <c r="C73" s="113"/>
      <c r="J73" s="113"/>
    </row>
    <row r="74" spans="3:10" ht="15.75" customHeight="1" x14ac:dyDescent="0.2">
      <c r="C74" s="113"/>
      <c r="J74" s="113"/>
    </row>
    <row r="75" spans="3:10" ht="15.75" customHeight="1" x14ac:dyDescent="0.2">
      <c r="C75" s="113"/>
      <c r="J75" s="113"/>
    </row>
    <row r="76" spans="3:10" ht="15.75" customHeight="1" x14ac:dyDescent="0.2">
      <c r="C76" s="113"/>
      <c r="J76" s="113"/>
    </row>
    <row r="77" spans="3:10" ht="15.75" customHeight="1" x14ac:dyDescent="0.2">
      <c r="C77" s="113"/>
      <c r="J77" s="113"/>
    </row>
    <row r="78" spans="3:10" ht="15.75" customHeight="1" x14ac:dyDescent="0.2">
      <c r="C78" s="113"/>
      <c r="J78" s="113"/>
    </row>
    <row r="79" spans="3:10" ht="15.75" customHeight="1" x14ac:dyDescent="0.2">
      <c r="C79" s="113"/>
      <c r="J79" s="113"/>
    </row>
    <row r="80" spans="3:10" ht="15.75" customHeight="1" x14ac:dyDescent="0.2">
      <c r="C80" s="113"/>
      <c r="J80" s="113"/>
    </row>
    <row r="81" spans="3:10" ht="15.75" customHeight="1" x14ac:dyDescent="0.2">
      <c r="C81" s="113"/>
      <c r="J81" s="113"/>
    </row>
    <row r="82" spans="3:10" ht="15.75" customHeight="1" x14ac:dyDescent="0.2">
      <c r="C82" s="113"/>
      <c r="J82" s="113"/>
    </row>
    <row r="83" spans="3:10" ht="15.75" customHeight="1" x14ac:dyDescent="0.2">
      <c r="C83" s="113"/>
      <c r="J83" s="113"/>
    </row>
    <row r="84" spans="3:10" ht="15.75" customHeight="1" x14ac:dyDescent="0.2">
      <c r="C84" s="113"/>
      <c r="J84" s="113"/>
    </row>
    <row r="85" spans="3:10" ht="15.75" customHeight="1" x14ac:dyDescent="0.2">
      <c r="C85" s="113"/>
      <c r="J85" s="113"/>
    </row>
    <row r="86" spans="3:10" ht="15.75" customHeight="1" x14ac:dyDescent="0.2">
      <c r="C86" s="113"/>
      <c r="J86" s="113"/>
    </row>
    <row r="87" spans="3:10" ht="15.75" customHeight="1" x14ac:dyDescent="0.2">
      <c r="C87" s="113"/>
      <c r="J87" s="113"/>
    </row>
    <row r="88" spans="3:10" ht="15.75" customHeight="1" x14ac:dyDescent="0.2">
      <c r="C88" s="113"/>
      <c r="J88" s="113"/>
    </row>
    <row r="89" spans="3:10" ht="15.75" customHeight="1" x14ac:dyDescent="0.2">
      <c r="C89" s="113"/>
      <c r="J89" s="113"/>
    </row>
    <row r="90" spans="3:10" ht="15.75" customHeight="1" x14ac:dyDescent="0.2">
      <c r="C90" s="113"/>
      <c r="J90" s="113"/>
    </row>
    <row r="91" spans="3:10" ht="15.75" customHeight="1" x14ac:dyDescent="0.2">
      <c r="C91" s="113"/>
      <c r="J91" s="113"/>
    </row>
    <row r="92" spans="3:10" ht="15.75" customHeight="1" x14ac:dyDescent="0.2">
      <c r="C92" s="113"/>
      <c r="J92" s="113"/>
    </row>
    <row r="93" spans="3:10" ht="15.75" customHeight="1" x14ac:dyDescent="0.2">
      <c r="C93" s="113"/>
      <c r="J93" s="113"/>
    </row>
    <row r="94" spans="3:10" ht="15.75" customHeight="1" x14ac:dyDescent="0.2">
      <c r="C94" s="113"/>
      <c r="J94" s="113"/>
    </row>
    <row r="95" spans="3:10" ht="15.75" customHeight="1" x14ac:dyDescent="0.2">
      <c r="C95" s="113"/>
      <c r="J95" s="113"/>
    </row>
    <row r="96" spans="3:10" ht="15.75" customHeight="1" x14ac:dyDescent="0.2">
      <c r="C96" s="113"/>
      <c r="J96" s="113"/>
    </row>
    <row r="97" spans="3:10" ht="15.75" customHeight="1" x14ac:dyDescent="0.2">
      <c r="C97" s="113"/>
      <c r="J97" s="113"/>
    </row>
    <row r="98" spans="3:10" ht="15.75" customHeight="1" x14ac:dyDescent="0.2">
      <c r="C98" s="113"/>
      <c r="J98" s="113"/>
    </row>
    <row r="99" spans="3:10" ht="15.75" customHeight="1" x14ac:dyDescent="0.2">
      <c r="C99" s="113"/>
      <c r="J99" s="113"/>
    </row>
    <row r="100" spans="3:10" ht="15.75" customHeight="1" x14ac:dyDescent="0.2">
      <c r="C100" s="113"/>
      <c r="J100" s="113"/>
    </row>
    <row r="101" spans="3:10" ht="15.75" customHeight="1" x14ac:dyDescent="0.2">
      <c r="C101" s="113"/>
      <c r="J101" s="113"/>
    </row>
    <row r="102" spans="3:10" ht="15.75" customHeight="1" x14ac:dyDescent="0.2">
      <c r="C102" s="113"/>
      <c r="J102" s="113"/>
    </row>
    <row r="103" spans="3:10" ht="15.75" customHeight="1" x14ac:dyDescent="0.2">
      <c r="C103" s="113"/>
      <c r="J103" s="113"/>
    </row>
    <row r="104" spans="3:10" ht="15.75" customHeight="1" x14ac:dyDescent="0.2">
      <c r="C104" s="113"/>
      <c r="J104" s="113"/>
    </row>
    <row r="105" spans="3:10" ht="15.75" customHeight="1" x14ac:dyDescent="0.2">
      <c r="C105" s="113"/>
      <c r="J105" s="113"/>
    </row>
    <row r="106" spans="3:10" ht="15.75" customHeight="1" x14ac:dyDescent="0.2">
      <c r="C106" s="113"/>
      <c r="J106" s="113"/>
    </row>
    <row r="107" spans="3:10" ht="15.75" customHeight="1" x14ac:dyDescent="0.2">
      <c r="C107" s="113"/>
      <c r="J107" s="113"/>
    </row>
    <row r="108" spans="3:10" ht="15.75" customHeight="1" x14ac:dyDescent="0.2">
      <c r="C108" s="113"/>
      <c r="J108" s="113"/>
    </row>
    <row r="109" spans="3:10" ht="15.75" customHeight="1" x14ac:dyDescent="0.2">
      <c r="C109" s="113"/>
      <c r="J109" s="113"/>
    </row>
    <row r="110" spans="3:10" ht="15.75" customHeight="1" x14ac:dyDescent="0.2">
      <c r="C110" s="113"/>
      <c r="J110" s="113"/>
    </row>
    <row r="111" spans="3:10" ht="15.75" customHeight="1" x14ac:dyDescent="0.2">
      <c r="C111" s="113"/>
      <c r="J111" s="113"/>
    </row>
    <row r="112" spans="3:10" ht="15.75" customHeight="1" x14ac:dyDescent="0.2">
      <c r="C112" s="113"/>
      <c r="J112" s="113"/>
    </row>
    <row r="113" spans="3:10" ht="15.75" customHeight="1" x14ac:dyDescent="0.2">
      <c r="C113" s="113"/>
      <c r="J113" s="113"/>
    </row>
    <row r="114" spans="3:10" ht="15.75" customHeight="1" x14ac:dyDescent="0.2">
      <c r="C114" s="113"/>
      <c r="J114" s="113"/>
    </row>
    <row r="115" spans="3:10" ht="15.75" customHeight="1" x14ac:dyDescent="0.2">
      <c r="C115" s="113"/>
      <c r="J115" s="113"/>
    </row>
    <row r="116" spans="3:10" ht="15.75" customHeight="1" x14ac:dyDescent="0.2">
      <c r="C116" s="113"/>
      <c r="J116" s="113"/>
    </row>
    <row r="117" spans="3:10" ht="15.75" customHeight="1" x14ac:dyDescent="0.2">
      <c r="C117" s="113"/>
      <c r="J117" s="113"/>
    </row>
    <row r="118" spans="3:10" ht="15.75" customHeight="1" x14ac:dyDescent="0.2">
      <c r="C118" s="113"/>
      <c r="J118" s="113"/>
    </row>
    <row r="119" spans="3:10" ht="15.75" customHeight="1" x14ac:dyDescent="0.2">
      <c r="C119" s="113"/>
      <c r="J119" s="113"/>
    </row>
    <row r="120" spans="3:10" ht="15.75" customHeight="1" x14ac:dyDescent="0.2">
      <c r="C120" s="113"/>
      <c r="J120" s="113"/>
    </row>
    <row r="121" spans="3:10" ht="15.75" customHeight="1" x14ac:dyDescent="0.2">
      <c r="C121" s="113"/>
      <c r="J121" s="113"/>
    </row>
    <row r="122" spans="3:10" ht="15.75" customHeight="1" x14ac:dyDescent="0.2">
      <c r="C122" s="113"/>
      <c r="J122" s="113"/>
    </row>
    <row r="123" spans="3:10" ht="15.75" customHeight="1" x14ac:dyDescent="0.2">
      <c r="C123" s="113"/>
      <c r="J123" s="113"/>
    </row>
    <row r="124" spans="3:10" ht="15.75" customHeight="1" x14ac:dyDescent="0.2">
      <c r="C124" s="113"/>
      <c r="J124" s="113"/>
    </row>
    <row r="125" spans="3:10" ht="15.75" customHeight="1" x14ac:dyDescent="0.2">
      <c r="C125" s="113"/>
      <c r="J125" s="113"/>
    </row>
    <row r="126" spans="3:10" ht="15.75" customHeight="1" x14ac:dyDescent="0.2">
      <c r="C126" s="113"/>
      <c r="J126" s="113"/>
    </row>
    <row r="127" spans="3:10" ht="15.75" customHeight="1" x14ac:dyDescent="0.2">
      <c r="C127" s="113"/>
      <c r="J127" s="113"/>
    </row>
    <row r="128" spans="3:10" ht="15.75" customHeight="1" x14ac:dyDescent="0.2">
      <c r="C128" s="113"/>
      <c r="J128" s="113"/>
    </row>
    <row r="129" spans="3:10" ht="15.75" customHeight="1" x14ac:dyDescent="0.2">
      <c r="C129" s="113"/>
      <c r="J129" s="113"/>
    </row>
    <row r="130" spans="3:10" ht="15.75" customHeight="1" x14ac:dyDescent="0.2">
      <c r="C130" s="113"/>
      <c r="J130" s="113"/>
    </row>
    <row r="131" spans="3:10" ht="15.75" customHeight="1" x14ac:dyDescent="0.2">
      <c r="C131" s="113"/>
      <c r="J131" s="113"/>
    </row>
    <row r="132" spans="3:10" ht="15.75" customHeight="1" x14ac:dyDescent="0.2">
      <c r="C132" s="113"/>
      <c r="J132" s="113"/>
    </row>
    <row r="133" spans="3:10" ht="15.75" customHeight="1" x14ac:dyDescent="0.2">
      <c r="C133" s="113"/>
      <c r="J133" s="113"/>
    </row>
    <row r="134" spans="3:10" ht="15.75" customHeight="1" x14ac:dyDescent="0.2">
      <c r="C134" s="113"/>
      <c r="J134" s="113"/>
    </row>
    <row r="135" spans="3:10" ht="15.75" customHeight="1" x14ac:dyDescent="0.2">
      <c r="C135" s="113"/>
      <c r="J135" s="113"/>
    </row>
    <row r="136" spans="3:10" ht="15.75" customHeight="1" x14ac:dyDescent="0.2">
      <c r="C136" s="113"/>
      <c r="J136" s="113"/>
    </row>
    <row r="137" spans="3:10" ht="15.75" customHeight="1" x14ac:dyDescent="0.2">
      <c r="C137" s="113"/>
      <c r="J137" s="113"/>
    </row>
    <row r="138" spans="3:10" ht="15.75" customHeight="1" x14ac:dyDescent="0.2">
      <c r="C138" s="113"/>
      <c r="J138" s="113"/>
    </row>
    <row r="139" spans="3:10" ht="15.75" customHeight="1" x14ac:dyDescent="0.2">
      <c r="C139" s="113"/>
      <c r="J139" s="113"/>
    </row>
    <row r="140" spans="3:10" ht="15.75" customHeight="1" x14ac:dyDescent="0.2">
      <c r="C140" s="113"/>
      <c r="J140" s="113"/>
    </row>
    <row r="141" spans="3:10" ht="15.75" customHeight="1" x14ac:dyDescent="0.2">
      <c r="C141" s="113"/>
      <c r="J141" s="113"/>
    </row>
    <row r="142" spans="3:10" ht="15.75" customHeight="1" x14ac:dyDescent="0.2">
      <c r="C142" s="113"/>
      <c r="J142" s="113"/>
    </row>
    <row r="143" spans="3:10" ht="15.75" customHeight="1" x14ac:dyDescent="0.2">
      <c r="C143" s="113"/>
      <c r="J143" s="113"/>
    </row>
    <row r="144" spans="3:10" ht="15.75" customHeight="1" x14ac:dyDescent="0.2">
      <c r="C144" s="113"/>
      <c r="J144" s="113"/>
    </row>
    <row r="145" spans="3:10" ht="15.75" customHeight="1" x14ac:dyDescent="0.2">
      <c r="C145" s="113"/>
      <c r="J145" s="113"/>
    </row>
    <row r="146" spans="3:10" ht="15.75" customHeight="1" x14ac:dyDescent="0.2">
      <c r="C146" s="113"/>
      <c r="J146" s="113"/>
    </row>
    <row r="147" spans="3:10" ht="15.75" customHeight="1" x14ac:dyDescent="0.2">
      <c r="C147" s="113"/>
      <c r="J147" s="113"/>
    </row>
    <row r="148" spans="3:10" ht="15.75" customHeight="1" x14ac:dyDescent="0.2">
      <c r="C148" s="113"/>
      <c r="J148" s="113"/>
    </row>
    <row r="149" spans="3:10" ht="15.75" customHeight="1" x14ac:dyDescent="0.2">
      <c r="C149" s="113"/>
      <c r="J149" s="113"/>
    </row>
    <row r="150" spans="3:10" ht="15.75" customHeight="1" x14ac:dyDescent="0.2">
      <c r="C150" s="113"/>
      <c r="J150" s="113"/>
    </row>
    <row r="151" spans="3:10" ht="15.75" customHeight="1" x14ac:dyDescent="0.2">
      <c r="C151" s="113"/>
      <c r="J151" s="113"/>
    </row>
    <row r="152" spans="3:10" ht="15.75" customHeight="1" x14ac:dyDescent="0.2">
      <c r="C152" s="113"/>
      <c r="J152" s="113"/>
    </row>
    <row r="153" spans="3:10" ht="15.75" customHeight="1" x14ac:dyDescent="0.2">
      <c r="C153" s="113"/>
      <c r="J153" s="113"/>
    </row>
    <row r="154" spans="3:10" ht="15.75" customHeight="1" x14ac:dyDescent="0.2">
      <c r="C154" s="113"/>
      <c r="J154" s="113"/>
    </row>
    <row r="155" spans="3:10" ht="15.75" customHeight="1" x14ac:dyDescent="0.2">
      <c r="C155" s="113"/>
      <c r="J155" s="113"/>
    </row>
    <row r="156" spans="3:10" ht="15.75" customHeight="1" x14ac:dyDescent="0.2">
      <c r="C156" s="113"/>
      <c r="J156" s="113"/>
    </row>
    <row r="157" spans="3:10" ht="15.75" customHeight="1" x14ac:dyDescent="0.2">
      <c r="C157" s="113"/>
      <c r="J157" s="113"/>
    </row>
    <row r="158" spans="3:10" ht="15.75" customHeight="1" x14ac:dyDescent="0.2">
      <c r="C158" s="113"/>
      <c r="J158" s="113"/>
    </row>
    <row r="159" spans="3:10" ht="15.75" customHeight="1" x14ac:dyDescent="0.2">
      <c r="C159" s="113"/>
      <c r="J159" s="113"/>
    </row>
    <row r="160" spans="3:10" ht="15.75" customHeight="1" x14ac:dyDescent="0.2">
      <c r="C160" s="113"/>
      <c r="J160" s="113"/>
    </row>
    <row r="161" spans="3:10" ht="15.75" customHeight="1" x14ac:dyDescent="0.2">
      <c r="C161" s="113"/>
      <c r="J161" s="113"/>
    </row>
    <row r="162" spans="3:10" ht="15.75" customHeight="1" x14ac:dyDescent="0.2">
      <c r="C162" s="113"/>
      <c r="J162" s="113"/>
    </row>
    <row r="163" spans="3:10" ht="15.75" customHeight="1" x14ac:dyDescent="0.2">
      <c r="C163" s="113"/>
      <c r="J163" s="113"/>
    </row>
    <row r="164" spans="3:10" ht="15.75" customHeight="1" x14ac:dyDescent="0.2">
      <c r="C164" s="113"/>
      <c r="J164" s="113"/>
    </row>
    <row r="165" spans="3:10" ht="15.75" customHeight="1" x14ac:dyDescent="0.2">
      <c r="C165" s="113"/>
      <c r="J165" s="113"/>
    </row>
    <row r="166" spans="3:10" ht="15.75" customHeight="1" x14ac:dyDescent="0.2">
      <c r="C166" s="113"/>
      <c r="J166" s="113"/>
    </row>
    <row r="167" spans="3:10" ht="15.75" customHeight="1" x14ac:dyDescent="0.2">
      <c r="C167" s="113"/>
      <c r="J167" s="113"/>
    </row>
    <row r="168" spans="3:10" ht="15.75" customHeight="1" x14ac:dyDescent="0.2">
      <c r="C168" s="113"/>
      <c r="J168" s="113"/>
    </row>
    <row r="169" spans="3:10" ht="15.75" customHeight="1" x14ac:dyDescent="0.2">
      <c r="C169" s="113"/>
      <c r="J169" s="113"/>
    </row>
    <row r="170" spans="3:10" ht="15.75" customHeight="1" x14ac:dyDescent="0.2">
      <c r="C170" s="113"/>
      <c r="J170" s="113"/>
    </row>
    <row r="171" spans="3:10" ht="15.75" customHeight="1" x14ac:dyDescent="0.2">
      <c r="C171" s="113"/>
      <c r="J171" s="113"/>
    </row>
    <row r="172" spans="3:10" ht="15.75" customHeight="1" x14ac:dyDescent="0.2">
      <c r="C172" s="113"/>
      <c r="J172" s="113"/>
    </row>
    <row r="173" spans="3:10" ht="15.75" customHeight="1" x14ac:dyDescent="0.2">
      <c r="C173" s="113"/>
      <c r="J173" s="113"/>
    </row>
    <row r="174" spans="3:10" ht="15.75" customHeight="1" x14ac:dyDescent="0.2">
      <c r="C174" s="113"/>
      <c r="J174" s="113"/>
    </row>
    <row r="175" spans="3:10" ht="15.75" customHeight="1" x14ac:dyDescent="0.2">
      <c r="C175" s="113"/>
      <c r="J175" s="113"/>
    </row>
    <row r="176" spans="3:10" ht="15.75" customHeight="1" x14ac:dyDescent="0.2">
      <c r="C176" s="113"/>
      <c r="J176" s="113"/>
    </row>
    <row r="177" spans="3:10" ht="15.75" customHeight="1" x14ac:dyDescent="0.2">
      <c r="C177" s="113"/>
      <c r="J177" s="113"/>
    </row>
    <row r="178" spans="3:10" ht="15.75" customHeight="1" x14ac:dyDescent="0.2">
      <c r="C178" s="113"/>
      <c r="J178" s="113"/>
    </row>
    <row r="179" spans="3:10" ht="15.75" customHeight="1" x14ac:dyDescent="0.2">
      <c r="C179" s="113"/>
      <c r="J179" s="113"/>
    </row>
    <row r="180" spans="3:10" ht="15.75" customHeight="1" x14ac:dyDescent="0.2">
      <c r="C180" s="113"/>
      <c r="J180" s="113"/>
    </row>
    <row r="181" spans="3:10" ht="15.75" customHeight="1" x14ac:dyDescent="0.2">
      <c r="C181" s="113"/>
      <c r="J181" s="113"/>
    </row>
    <row r="182" spans="3:10" ht="15.75" customHeight="1" x14ac:dyDescent="0.2">
      <c r="C182" s="113"/>
      <c r="J182" s="113"/>
    </row>
    <row r="183" spans="3:10" ht="15.75" customHeight="1" x14ac:dyDescent="0.2">
      <c r="C183" s="113"/>
      <c r="J183" s="113"/>
    </row>
    <row r="184" spans="3:10" ht="15.75" customHeight="1" x14ac:dyDescent="0.2">
      <c r="C184" s="113"/>
      <c r="J184" s="113"/>
    </row>
    <row r="185" spans="3:10" ht="15.75" customHeight="1" x14ac:dyDescent="0.2">
      <c r="C185" s="113"/>
      <c r="J185" s="113"/>
    </row>
    <row r="186" spans="3:10" ht="15.75" customHeight="1" x14ac:dyDescent="0.2">
      <c r="C186" s="113"/>
      <c r="J186" s="113"/>
    </row>
    <row r="187" spans="3:10" ht="15.75" customHeight="1" x14ac:dyDescent="0.2">
      <c r="C187" s="113"/>
      <c r="J187" s="113"/>
    </row>
    <row r="188" spans="3:10" ht="15.75" customHeight="1" x14ac:dyDescent="0.2">
      <c r="C188" s="113"/>
      <c r="J188" s="113"/>
    </row>
    <row r="189" spans="3:10" ht="15.75" customHeight="1" x14ac:dyDescent="0.2">
      <c r="C189" s="113"/>
      <c r="J189" s="113"/>
    </row>
    <row r="190" spans="3:10" ht="15.75" customHeight="1" x14ac:dyDescent="0.2">
      <c r="C190" s="113"/>
      <c r="J190" s="113"/>
    </row>
    <row r="191" spans="3:10" ht="15.75" customHeight="1" x14ac:dyDescent="0.2">
      <c r="C191" s="113"/>
      <c r="J191" s="113"/>
    </row>
    <row r="192" spans="3:10" ht="15.75" customHeight="1" x14ac:dyDescent="0.2">
      <c r="C192" s="113"/>
      <c r="J192" s="113"/>
    </row>
    <row r="193" spans="3:10" ht="15.75" customHeight="1" x14ac:dyDescent="0.2">
      <c r="C193" s="113"/>
      <c r="J193" s="113"/>
    </row>
    <row r="194" spans="3:10" ht="15.75" customHeight="1" x14ac:dyDescent="0.2">
      <c r="C194" s="113"/>
      <c r="J194" s="113"/>
    </row>
    <row r="195" spans="3:10" ht="15.75" customHeight="1" x14ac:dyDescent="0.2">
      <c r="C195" s="113"/>
      <c r="J195" s="113"/>
    </row>
    <row r="196" spans="3:10" ht="15.75" customHeight="1" x14ac:dyDescent="0.2">
      <c r="C196" s="113"/>
      <c r="J196" s="113"/>
    </row>
    <row r="197" spans="3:10" ht="15.75" customHeight="1" x14ac:dyDescent="0.2">
      <c r="C197" s="113"/>
      <c r="J197" s="113"/>
    </row>
    <row r="198" spans="3:10" ht="15.75" customHeight="1" x14ac:dyDescent="0.2">
      <c r="C198" s="113"/>
      <c r="J198" s="113"/>
    </row>
    <row r="199" spans="3:10" ht="15.75" customHeight="1" x14ac:dyDescent="0.2">
      <c r="C199" s="113"/>
      <c r="J199" s="113"/>
    </row>
    <row r="200" spans="3:10" ht="15.75" customHeight="1" x14ac:dyDescent="0.2">
      <c r="C200" s="113"/>
      <c r="J200" s="113"/>
    </row>
    <row r="201" spans="3:10" ht="15.75" customHeight="1" x14ac:dyDescent="0.2">
      <c r="C201" s="113"/>
      <c r="J201" s="113"/>
    </row>
    <row r="202" spans="3:10" ht="15.75" customHeight="1" x14ac:dyDescent="0.2">
      <c r="C202" s="113"/>
      <c r="J202" s="113"/>
    </row>
    <row r="203" spans="3:10" ht="15.75" customHeight="1" x14ac:dyDescent="0.2">
      <c r="C203" s="113"/>
      <c r="J203" s="113"/>
    </row>
    <row r="204" spans="3:10" ht="15.75" customHeight="1" x14ac:dyDescent="0.2">
      <c r="C204" s="113"/>
      <c r="J204" s="113"/>
    </row>
    <row r="205" spans="3:10" ht="15.75" customHeight="1" x14ac:dyDescent="0.2">
      <c r="C205" s="113"/>
      <c r="J205" s="113"/>
    </row>
    <row r="206" spans="3:10" ht="15.75" customHeight="1" x14ac:dyDescent="0.2">
      <c r="C206" s="113"/>
      <c r="J206" s="113"/>
    </row>
    <row r="207" spans="3:10" ht="15.75" customHeight="1" x14ac:dyDescent="0.2">
      <c r="C207" s="113"/>
      <c r="J207" s="113"/>
    </row>
    <row r="208" spans="3:10" ht="15.75" customHeight="1" x14ac:dyDescent="0.2">
      <c r="C208" s="113"/>
      <c r="J208" s="113"/>
    </row>
    <row r="209" spans="3:10" ht="15.75" customHeight="1" x14ac:dyDescent="0.2">
      <c r="C209" s="113"/>
      <c r="J209" s="113"/>
    </row>
    <row r="210" spans="3:10" ht="15.75" customHeight="1" x14ac:dyDescent="0.2">
      <c r="C210" s="113"/>
      <c r="J210" s="113"/>
    </row>
    <row r="211" spans="3:10" ht="15.75" customHeight="1" x14ac:dyDescent="0.2">
      <c r="C211" s="113"/>
      <c r="J211" s="113"/>
    </row>
    <row r="212" spans="3:10" ht="15.75" customHeight="1" x14ac:dyDescent="0.2">
      <c r="C212" s="113"/>
      <c r="J212" s="113"/>
    </row>
    <row r="213" spans="3:10" ht="15.75" customHeight="1" x14ac:dyDescent="0.2">
      <c r="C213" s="113"/>
      <c r="J213" s="113"/>
    </row>
    <row r="214" spans="3:10" ht="15.75" customHeight="1" x14ac:dyDescent="0.2">
      <c r="C214" s="113"/>
      <c r="J214" s="113"/>
    </row>
    <row r="215" spans="3:10" ht="15.75" customHeight="1" x14ac:dyDescent="0.2">
      <c r="C215" s="113"/>
      <c r="J215" s="113"/>
    </row>
    <row r="216" spans="3:10" ht="15.75" customHeight="1" x14ac:dyDescent="0.2">
      <c r="C216" s="113"/>
      <c r="J216" s="113"/>
    </row>
    <row r="217" spans="3:10" ht="15.75" customHeight="1" x14ac:dyDescent="0.2">
      <c r="C217" s="113"/>
      <c r="J217" s="113"/>
    </row>
    <row r="218" spans="3:10" ht="15.75" customHeight="1" x14ac:dyDescent="0.2">
      <c r="C218" s="113"/>
      <c r="J218" s="113"/>
    </row>
    <row r="219" spans="3:10" ht="15.75" customHeight="1" x14ac:dyDescent="0.2">
      <c r="C219" s="113"/>
      <c r="J219" s="113"/>
    </row>
    <row r="220" spans="3:10" ht="15.75" customHeight="1" x14ac:dyDescent="0.2">
      <c r="C220" s="113"/>
      <c r="J220" s="113"/>
    </row>
    <row r="221" spans="3:10" ht="15.75" customHeight="1" x14ac:dyDescent="0.2">
      <c r="C221" s="113"/>
      <c r="J221" s="113"/>
    </row>
    <row r="222" spans="3:10" ht="15.75" customHeight="1" x14ac:dyDescent="0.2">
      <c r="C222" s="113"/>
      <c r="J222" s="113"/>
    </row>
    <row r="223" spans="3:10" ht="15.75" customHeight="1" x14ac:dyDescent="0.2">
      <c r="C223" s="113"/>
      <c r="J223" s="113"/>
    </row>
    <row r="224" spans="3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J1"/>
  </mergeCells>
  <pageMargins left="0.7" right="0.7" top="0.75" bottom="0.75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M1012"/>
  <sheetViews>
    <sheetView workbookViewId="0"/>
  </sheetViews>
  <sheetFormatPr defaultColWidth="14.390625" defaultRowHeight="15" customHeight="1" x14ac:dyDescent="0.2"/>
  <cols>
    <col min="2" max="2" width="26.09765625" customWidth="1"/>
    <col min="3" max="3" width="36.72265625" customWidth="1"/>
    <col min="4" max="4" width="18.96484375" customWidth="1"/>
    <col min="5" max="5" width="18.4296875" customWidth="1"/>
    <col min="6" max="6" width="25.15234375" customWidth="1"/>
  </cols>
  <sheetData>
    <row r="1" spans="2:13" x14ac:dyDescent="0.2">
      <c r="B1" s="221"/>
      <c r="C1" s="221"/>
      <c r="D1" s="221"/>
      <c r="E1" s="221"/>
    </row>
    <row r="2" spans="2:13" x14ac:dyDescent="0.2">
      <c r="B2" s="221"/>
      <c r="C2" s="221"/>
      <c r="D2" s="221"/>
      <c r="E2" s="221"/>
    </row>
    <row r="3" spans="2:13" x14ac:dyDescent="0.2">
      <c r="B3" s="358" t="s">
        <v>586</v>
      </c>
      <c r="C3" s="359"/>
      <c r="D3" s="359"/>
      <c r="E3" s="359"/>
      <c r="F3" s="360"/>
      <c r="G3" s="222"/>
    </row>
    <row r="4" spans="2:13" x14ac:dyDescent="0.2">
      <c r="B4" s="361"/>
      <c r="C4" s="362"/>
      <c r="D4" s="362"/>
      <c r="E4" s="362"/>
      <c r="F4" s="363"/>
      <c r="G4" s="222"/>
    </row>
    <row r="5" spans="2:13" x14ac:dyDescent="0.2">
      <c r="B5" s="223" t="s">
        <v>587</v>
      </c>
      <c r="C5" s="224" t="s">
        <v>441</v>
      </c>
      <c r="D5" s="224" t="s">
        <v>588</v>
      </c>
      <c r="E5" s="224" t="s">
        <v>589</v>
      </c>
      <c r="F5" s="224" t="s">
        <v>590</v>
      </c>
      <c r="G5" s="222"/>
    </row>
    <row r="6" spans="2:13" x14ac:dyDescent="0.2">
      <c r="B6" s="364"/>
      <c r="C6" s="365"/>
      <c r="D6" s="365"/>
      <c r="E6" s="365"/>
      <c r="F6" s="366"/>
      <c r="G6" s="222"/>
    </row>
    <row r="7" spans="2:13" x14ac:dyDescent="0.2">
      <c r="B7" s="225"/>
      <c r="C7" s="226"/>
      <c r="D7" s="227"/>
      <c r="E7" s="228"/>
      <c r="F7" s="229">
        <f t="shared" ref="F7:F70" si="0">E7*D7</f>
        <v>0</v>
      </c>
      <c r="G7" s="222"/>
    </row>
    <row r="8" spans="2:13" x14ac:dyDescent="0.2">
      <c r="B8" s="225"/>
      <c r="C8" s="226"/>
      <c r="D8" s="227"/>
      <c r="E8" s="228"/>
      <c r="F8" s="229">
        <f t="shared" si="0"/>
        <v>0</v>
      </c>
      <c r="G8" s="222"/>
    </row>
    <row r="9" spans="2:13" x14ac:dyDescent="0.2">
      <c r="B9" s="225"/>
      <c r="C9" s="230"/>
      <c r="D9" s="231"/>
      <c r="E9" s="232"/>
      <c r="F9" s="229">
        <f t="shared" si="0"/>
        <v>0</v>
      </c>
      <c r="G9" s="222"/>
    </row>
    <row r="10" spans="2:13" x14ac:dyDescent="0.2">
      <c r="B10" s="225"/>
      <c r="C10" s="230"/>
      <c r="D10" s="231"/>
      <c r="E10" s="232"/>
      <c r="F10" s="229">
        <f t="shared" si="0"/>
        <v>0</v>
      </c>
      <c r="G10" s="222"/>
    </row>
    <row r="11" spans="2:13" x14ac:dyDescent="0.2">
      <c r="B11" s="233"/>
      <c r="C11" s="230"/>
      <c r="D11" s="231"/>
      <c r="E11" s="232"/>
      <c r="F11" s="229">
        <f t="shared" si="0"/>
        <v>0</v>
      </c>
      <c r="G11" s="222"/>
    </row>
    <row r="12" spans="2:13" x14ac:dyDescent="0.2">
      <c r="B12" s="233"/>
      <c r="C12" s="230"/>
      <c r="D12" s="231"/>
      <c r="E12" s="234"/>
      <c r="F12" s="229">
        <f t="shared" si="0"/>
        <v>0</v>
      </c>
      <c r="G12" s="222"/>
    </row>
    <row r="13" spans="2:13" x14ac:dyDescent="0.2">
      <c r="B13" s="233"/>
      <c r="C13" s="230"/>
      <c r="D13" s="231"/>
      <c r="E13" s="234"/>
      <c r="F13" s="229">
        <f t="shared" si="0"/>
        <v>0</v>
      </c>
      <c r="G13" s="222"/>
    </row>
    <row r="14" spans="2:13" x14ac:dyDescent="0.2">
      <c r="B14" s="233"/>
      <c r="C14" s="230"/>
      <c r="D14" s="231"/>
      <c r="E14" s="232"/>
      <c r="F14" s="229">
        <f t="shared" si="0"/>
        <v>0</v>
      </c>
      <c r="G14" s="222"/>
    </row>
    <row r="15" spans="2:13" x14ac:dyDescent="0.2">
      <c r="B15" s="233"/>
      <c r="C15" s="230"/>
      <c r="D15" s="231"/>
      <c r="E15" s="232"/>
      <c r="F15" s="229">
        <f t="shared" si="0"/>
        <v>0</v>
      </c>
      <c r="G15" s="222"/>
    </row>
    <row r="16" spans="2:13" x14ac:dyDescent="0.2">
      <c r="B16" s="233"/>
      <c r="C16" s="235"/>
      <c r="D16" s="231"/>
      <c r="E16" s="232"/>
      <c r="F16" s="229">
        <f t="shared" si="0"/>
        <v>0</v>
      </c>
      <c r="G16" s="236"/>
      <c r="H16" s="237"/>
      <c r="I16" s="237"/>
      <c r="J16" s="237"/>
      <c r="K16" s="237"/>
      <c r="L16" s="238"/>
      <c r="M16" s="238"/>
    </row>
    <row r="17" spans="2:7" x14ac:dyDescent="0.2">
      <c r="B17" s="233"/>
      <c r="C17" s="230"/>
      <c r="D17" s="231"/>
      <c r="E17" s="232"/>
      <c r="F17" s="229">
        <f t="shared" si="0"/>
        <v>0</v>
      </c>
      <c r="G17" s="222"/>
    </row>
    <row r="18" spans="2:7" x14ac:dyDescent="0.2">
      <c r="B18" s="225"/>
      <c r="C18" s="226"/>
      <c r="D18" s="226"/>
      <c r="E18" s="228"/>
      <c r="F18" s="229">
        <f t="shared" si="0"/>
        <v>0</v>
      </c>
      <c r="G18" s="222"/>
    </row>
    <row r="19" spans="2:7" x14ac:dyDescent="0.2">
      <c r="B19" s="225"/>
      <c r="C19" s="226"/>
      <c r="D19" s="227"/>
      <c r="E19" s="228"/>
      <c r="F19" s="229">
        <f t="shared" si="0"/>
        <v>0</v>
      </c>
      <c r="G19" s="222"/>
    </row>
    <row r="20" spans="2:7" x14ac:dyDescent="0.2">
      <c r="B20" s="225"/>
      <c r="C20" s="226"/>
      <c r="D20" s="227"/>
      <c r="E20" s="228"/>
      <c r="F20" s="229">
        <f t="shared" si="0"/>
        <v>0</v>
      </c>
      <c r="G20" s="222"/>
    </row>
    <row r="21" spans="2:7" x14ac:dyDescent="0.2">
      <c r="B21" s="225"/>
      <c r="C21" s="226"/>
      <c r="D21" s="227"/>
      <c r="E21" s="228"/>
      <c r="F21" s="229">
        <f t="shared" si="0"/>
        <v>0</v>
      </c>
      <c r="G21" s="222"/>
    </row>
    <row r="22" spans="2:7" x14ac:dyDescent="0.2">
      <c r="B22" s="225"/>
      <c r="C22" s="226"/>
      <c r="D22" s="227"/>
      <c r="E22" s="228"/>
      <c r="F22" s="229">
        <f t="shared" si="0"/>
        <v>0</v>
      </c>
      <c r="G22" s="222"/>
    </row>
    <row r="23" spans="2:7" x14ac:dyDescent="0.2">
      <c r="B23" s="225"/>
      <c r="C23" s="226"/>
      <c r="D23" s="227"/>
      <c r="E23" s="228"/>
      <c r="F23" s="229">
        <f t="shared" si="0"/>
        <v>0</v>
      </c>
      <c r="G23" s="222"/>
    </row>
    <row r="24" spans="2:7" x14ac:dyDescent="0.2">
      <c r="B24" s="225"/>
      <c r="C24" s="226"/>
      <c r="D24" s="227"/>
      <c r="E24" s="228"/>
      <c r="F24" s="229">
        <f t="shared" si="0"/>
        <v>0</v>
      </c>
      <c r="G24" s="222"/>
    </row>
    <row r="25" spans="2:7" x14ac:dyDescent="0.2">
      <c r="B25" s="225"/>
      <c r="C25" s="226"/>
      <c r="D25" s="227"/>
      <c r="E25" s="228"/>
      <c r="F25" s="229">
        <f t="shared" si="0"/>
        <v>0</v>
      </c>
      <c r="G25" s="222"/>
    </row>
    <row r="26" spans="2:7" x14ac:dyDescent="0.2">
      <c r="B26" s="225"/>
      <c r="C26" s="226"/>
      <c r="D26" s="227"/>
      <c r="E26" s="228"/>
      <c r="F26" s="229">
        <f t="shared" si="0"/>
        <v>0</v>
      </c>
      <c r="G26" s="222"/>
    </row>
    <row r="27" spans="2:7" x14ac:dyDescent="0.2">
      <c r="B27" s="225"/>
      <c r="C27" s="226"/>
      <c r="D27" s="227"/>
      <c r="E27" s="228"/>
      <c r="F27" s="229">
        <f t="shared" si="0"/>
        <v>0</v>
      </c>
      <c r="G27" s="222"/>
    </row>
    <row r="28" spans="2:7" x14ac:dyDescent="0.2">
      <c r="B28" s="225"/>
      <c r="C28" s="226"/>
      <c r="D28" s="227"/>
      <c r="E28" s="228"/>
      <c r="F28" s="229">
        <f t="shared" si="0"/>
        <v>0</v>
      </c>
      <c r="G28" s="222"/>
    </row>
    <row r="29" spans="2:7" x14ac:dyDescent="0.2">
      <c r="B29" s="225"/>
      <c r="C29" s="226"/>
      <c r="D29" s="227"/>
      <c r="E29" s="228"/>
      <c r="F29" s="229">
        <f t="shared" si="0"/>
        <v>0</v>
      </c>
      <c r="G29" s="222"/>
    </row>
    <row r="30" spans="2:7" x14ac:dyDescent="0.2">
      <c r="B30" s="225"/>
      <c r="C30" s="226"/>
      <c r="D30" s="227"/>
      <c r="E30" s="228"/>
      <c r="F30" s="229">
        <f t="shared" si="0"/>
        <v>0</v>
      </c>
      <c r="G30" s="222"/>
    </row>
    <row r="31" spans="2:7" x14ac:dyDescent="0.2">
      <c r="B31" s="225"/>
      <c r="C31" s="226"/>
      <c r="D31" s="227"/>
      <c r="E31" s="228"/>
      <c r="F31" s="229">
        <f t="shared" si="0"/>
        <v>0</v>
      </c>
      <c r="G31" s="222"/>
    </row>
    <row r="32" spans="2:7" x14ac:dyDescent="0.2">
      <c r="B32" s="225"/>
      <c r="C32" s="226"/>
      <c r="D32" s="227"/>
      <c r="E32" s="228"/>
      <c r="F32" s="229">
        <f t="shared" si="0"/>
        <v>0</v>
      </c>
      <c r="G32" s="222"/>
    </row>
    <row r="33" spans="2:12" x14ac:dyDescent="0.2">
      <c r="B33" s="225"/>
      <c r="C33" s="226"/>
      <c r="D33" s="227"/>
      <c r="E33" s="228"/>
      <c r="F33" s="229">
        <f t="shared" si="0"/>
        <v>0</v>
      </c>
      <c r="G33" s="222"/>
    </row>
    <row r="34" spans="2:12" x14ac:dyDescent="0.2">
      <c r="B34" s="225"/>
      <c r="C34" s="226"/>
      <c r="D34" s="227"/>
      <c r="E34" s="228"/>
      <c r="F34" s="229">
        <f t="shared" si="0"/>
        <v>0</v>
      </c>
      <c r="G34" s="222"/>
    </row>
    <row r="35" spans="2:12" x14ac:dyDescent="0.2">
      <c r="B35" s="225"/>
      <c r="C35" s="226"/>
      <c r="D35" s="227"/>
      <c r="E35" s="228"/>
      <c r="F35" s="229">
        <f t="shared" si="0"/>
        <v>0</v>
      </c>
      <c r="G35" s="222"/>
    </row>
    <row r="36" spans="2:12" x14ac:dyDescent="0.2">
      <c r="B36" s="225"/>
      <c r="C36" s="226"/>
      <c r="D36" s="227"/>
      <c r="E36" s="228"/>
      <c r="F36" s="229">
        <f t="shared" si="0"/>
        <v>0</v>
      </c>
      <c r="G36" s="222"/>
    </row>
    <row r="37" spans="2:12" x14ac:dyDescent="0.2">
      <c r="B37" s="225"/>
      <c r="C37" s="226"/>
      <c r="D37" s="227"/>
      <c r="E37" s="228"/>
      <c r="F37" s="229">
        <f t="shared" si="0"/>
        <v>0</v>
      </c>
      <c r="G37" s="222"/>
    </row>
    <row r="38" spans="2:12" x14ac:dyDescent="0.2">
      <c r="B38" s="225"/>
      <c r="C38" s="226"/>
      <c r="D38" s="227"/>
      <c r="E38" s="228"/>
      <c r="F38" s="229">
        <f t="shared" si="0"/>
        <v>0</v>
      </c>
      <c r="G38" s="222"/>
    </row>
    <row r="39" spans="2:12" x14ac:dyDescent="0.2">
      <c r="B39" s="225"/>
      <c r="C39" s="226"/>
      <c r="D39" s="227"/>
      <c r="E39" s="228"/>
      <c r="F39" s="229">
        <f t="shared" si="0"/>
        <v>0</v>
      </c>
      <c r="G39" s="222"/>
    </row>
    <row r="40" spans="2:12" x14ac:dyDescent="0.2">
      <c r="B40" s="225"/>
      <c r="C40" s="226"/>
      <c r="D40" s="227"/>
      <c r="E40" s="228"/>
      <c r="F40" s="229">
        <f t="shared" si="0"/>
        <v>0</v>
      </c>
      <c r="G40" s="222"/>
    </row>
    <row r="41" spans="2:12" x14ac:dyDescent="0.2">
      <c r="B41" s="225"/>
      <c r="C41" s="226"/>
      <c r="D41" s="227"/>
      <c r="E41" s="228"/>
      <c r="F41" s="229">
        <f t="shared" si="0"/>
        <v>0</v>
      </c>
      <c r="G41" s="222"/>
    </row>
    <row r="42" spans="2:12" x14ac:dyDescent="0.2">
      <c r="B42" s="225"/>
      <c r="C42" s="226"/>
      <c r="D42" s="227"/>
      <c r="E42" s="228"/>
      <c r="F42" s="229">
        <f t="shared" si="0"/>
        <v>0</v>
      </c>
      <c r="G42" s="222"/>
    </row>
    <row r="43" spans="2:12" x14ac:dyDescent="0.2">
      <c r="B43" s="225"/>
      <c r="C43" s="226"/>
      <c r="D43" s="227"/>
      <c r="E43" s="228"/>
      <c r="F43" s="229">
        <f t="shared" si="0"/>
        <v>0</v>
      </c>
      <c r="G43" s="222"/>
    </row>
    <row r="44" spans="2:12" x14ac:dyDescent="0.2">
      <c r="B44" s="225"/>
      <c r="C44" s="226"/>
      <c r="D44" s="227"/>
      <c r="E44" s="228"/>
      <c r="F44" s="229">
        <f t="shared" si="0"/>
        <v>0</v>
      </c>
      <c r="G44" s="222"/>
    </row>
    <row r="45" spans="2:12" x14ac:dyDescent="0.2">
      <c r="B45" s="225"/>
      <c r="C45" s="226"/>
      <c r="D45" s="227"/>
      <c r="E45" s="228"/>
      <c r="F45" s="229">
        <f t="shared" si="0"/>
        <v>0</v>
      </c>
      <c r="G45" s="222"/>
    </row>
    <row r="46" spans="2:12" x14ac:dyDescent="0.2">
      <c r="B46" s="239"/>
      <c r="C46" s="240"/>
      <c r="D46" s="227"/>
      <c r="E46" s="228"/>
      <c r="F46" s="229">
        <f t="shared" si="0"/>
        <v>0</v>
      </c>
      <c r="G46" s="222"/>
    </row>
    <row r="47" spans="2:12" x14ac:dyDescent="0.2">
      <c r="B47" s="239"/>
      <c r="C47" s="240"/>
      <c r="D47" s="227"/>
      <c r="E47" s="228"/>
      <c r="F47" s="229">
        <f t="shared" si="0"/>
        <v>0</v>
      </c>
      <c r="G47" s="222"/>
    </row>
    <row r="48" spans="2:12" x14ac:dyDescent="0.2">
      <c r="B48" s="239"/>
      <c r="C48" s="240"/>
      <c r="D48" s="227"/>
      <c r="E48" s="228"/>
      <c r="F48" s="229">
        <f t="shared" si="0"/>
        <v>0</v>
      </c>
      <c r="G48" s="222"/>
      <c r="H48" s="238"/>
      <c r="I48" s="238"/>
      <c r="J48" s="238"/>
      <c r="K48" s="238"/>
      <c r="L48" s="238"/>
    </row>
    <row r="49" spans="2:7" x14ac:dyDescent="0.2">
      <c r="B49" s="239"/>
      <c r="C49" s="240"/>
      <c r="D49" s="227"/>
      <c r="E49" s="228"/>
      <c r="F49" s="229">
        <f t="shared" si="0"/>
        <v>0</v>
      </c>
      <c r="G49" s="222"/>
    </row>
    <row r="50" spans="2:7" x14ac:dyDescent="0.2">
      <c r="B50" s="239"/>
      <c r="C50" s="240"/>
      <c r="D50" s="227"/>
      <c r="E50" s="228"/>
      <c r="F50" s="229">
        <f t="shared" si="0"/>
        <v>0</v>
      </c>
      <c r="G50" s="222"/>
    </row>
    <row r="51" spans="2:7" x14ac:dyDescent="0.2">
      <c r="B51" s="239"/>
      <c r="C51" s="240"/>
      <c r="D51" s="227"/>
      <c r="E51" s="228"/>
      <c r="F51" s="229">
        <f t="shared" si="0"/>
        <v>0</v>
      </c>
      <c r="G51" s="222"/>
    </row>
    <row r="52" spans="2:7" x14ac:dyDescent="0.2">
      <c r="B52" s="239"/>
      <c r="C52" s="240"/>
      <c r="D52" s="227"/>
      <c r="E52" s="228"/>
      <c r="F52" s="229">
        <f t="shared" si="0"/>
        <v>0</v>
      </c>
      <c r="G52" s="222"/>
    </row>
    <row r="53" spans="2:7" x14ac:dyDescent="0.2">
      <c r="B53" s="239"/>
      <c r="C53" s="240"/>
      <c r="D53" s="227"/>
      <c r="E53" s="228"/>
      <c r="F53" s="229">
        <f t="shared" si="0"/>
        <v>0</v>
      </c>
      <c r="G53" s="222"/>
    </row>
    <row r="54" spans="2:7" x14ac:dyDescent="0.2">
      <c r="B54" s="239"/>
      <c r="C54" s="240"/>
      <c r="D54" s="227"/>
      <c r="E54" s="228"/>
      <c r="F54" s="229">
        <f t="shared" si="0"/>
        <v>0</v>
      </c>
      <c r="G54" s="222"/>
    </row>
    <row r="55" spans="2:7" x14ac:dyDescent="0.2">
      <c r="B55" s="239"/>
      <c r="C55" s="240"/>
      <c r="D55" s="227"/>
      <c r="E55" s="228"/>
      <c r="F55" s="229">
        <f t="shared" si="0"/>
        <v>0</v>
      </c>
      <c r="G55" s="222"/>
    </row>
    <row r="56" spans="2:7" x14ac:dyDescent="0.2">
      <c r="B56" s="239"/>
      <c r="C56" s="240"/>
      <c r="D56" s="227"/>
      <c r="E56" s="228"/>
      <c r="F56" s="229">
        <f t="shared" si="0"/>
        <v>0</v>
      </c>
      <c r="G56" s="222"/>
    </row>
    <row r="57" spans="2:7" x14ac:dyDescent="0.2">
      <c r="B57" s="239"/>
      <c r="C57" s="240"/>
      <c r="D57" s="227"/>
      <c r="E57" s="228"/>
      <c r="F57" s="229">
        <f t="shared" si="0"/>
        <v>0</v>
      </c>
      <c r="G57" s="222"/>
    </row>
    <row r="58" spans="2:7" x14ac:dyDescent="0.2">
      <c r="B58" s="239"/>
      <c r="C58" s="240"/>
      <c r="D58" s="227"/>
      <c r="E58" s="228"/>
      <c r="F58" s="229">
        <f t="shared" si="0"/>
        <v>0</v>
      </c>
      <c r="G58" s="222"/>
    </row>
    <row r="59" spans="2:7" x14ac:dyDescent="0.2">
      <c r="B59" s="239"/>
      <c r="C59" s="240"/>
      <c r="D59" s="227"/>
      <c r="E59" s="228"/>
      <c r="F59" s="229">
        <f t="shared" si="0"/>
        <v>0</v>
      </c>
      <c r="G59" s="222"/>
    </row>
    <row r="60" spans="2:7" x14ac:dyDescent="0.2">
      <c r="B60" s="239"/>
      <c r="C60" s="240"/>
      <c r="D60" s="227"/>
      <c r="E60" s="228"/>
      <c r="F60" s="229">
        <f t="shared" si="0"/>
        <v>0</v>
      </c>
      <c r="G60" s="222"/>
    </row>
    <row r="61" spans="2:7" x14ac:dyDescent="0.2">
      <c r="B61" s="239"/>
      <c r="C61" s="240"/>
      <c r="D61" s="227"/>
      <c r="E61" s="228"/>
      <c r="F61" s="229">
        <f t="shared" si="0"/>
        <v>0</v>
      </c>
      <c r="G61" s="222"/>
    </row>
    <row r="62" spans="2:7" x14ac:dyDescent="0.2">
      <c r="B62" s="239"/>
      <c r="C62" s="241"/>
      <c r="D62" s="227"/>
      <c r="E62" s="228"/>
      <c r="F62" s="229">
        <f t="shared" si="0"/>
        <v>0</v>
      </c>
      <c r="G62" s="222"/>
    </row>
    <row r="63" spans="2:7" x14ac:dyDescent="0.2">
      <c r="B63" s="239"/>
      <c r="C63" s="241"/>
      <c r="D63" s="227"/>
      <c r="E63" s="228"/>
      <c r="F63" s="229">
        <f t="shared" si="0"/>
        <v>0</v>
      </c>
      <c r="G63" s="222"/>
    </row>
    <row r="64" spans="2:7" x14ac:dyDescent="0.2">
      <c r="B64" s="239"/>
      <c r="C64" s="241"/>
      <c r="D64" s="227"/>
      <c r="E64" s="228"/>
      <c r="F64" s="229">
        <f t="shared" si="0"/>
        <v>0</v>
      </c>
      <c r="G64" s="222"/>
    </row>
    <row r="65" spans="2:7" x14ac:dyDescent="0.2">
      <c r="B65" s="239"/>
      <c r="C65" s="241"/>
      <c r="D65" s="227"/>
      <c r="E65" s="228"/>
      <c r="F65" s="229">
        <f t="shared" si="0"/>
        <v>0</v>
      </c>
      <c r="G65" s="222"/>
    </row>
    <row r="66" spans="2:7" x14ac:dyDescent="0.2">
      <c r="B66" s="239"/>
      <c r="C66" s="241"/>
      <c r="D66" s="227"/>
      <c r="E66" s="228"/>
      <c r="F66" s="229">
        <f t="shared" si="0"/>
        <v>0</v>
      </c>
      <c r="G66" s="222"/>
    </row>
    <row r="67" spans="2:7" x14ac:dyDescent="0.2">
      <c r="B67" s="239"/>
      <c r="C67" s="241"/>
      <c r="D67" s="227"/>
      <c r="E67" s="228"/>
      <c r="F67" s="242">
        <f t="shared" si="0"/>
        <v>0</v>
      </c>
      <c r="G67" s="222"/>
    </row>
    <row r="68" spans="2:7" x14ac:dyDescent="0.2">
      <c r="B68" s="239"/>
      <c r="C68" s="241"/>
      <c r="D68" s="227"/>
      <c r="E68" s="228"/>
      <c r="F68" s="242">
        <f t="shared" si="0"/>
        <v>0</v>
      </c>
      <c r="G68" s="222"/>
    </row>
    <row r="69" spans="2:7" x14ac:dyDescent="0.2">
      <c r="B69" s="243"/>
      <c r="C69" s="227"/>
      <c r="D69" s="227"/>
      <c r="E69" s="228"/>
      <c r="F69" s="242">
        <f t="shared" si="0"/>
        <v>0</v>
      </c>
      <c r="G69" s="222"/>
    </row>
    <row r="70" spans="2:7" x14ac:dyDescent="0.2">
      <c r="B70" s="244"/>
      <c r="C70" s="245"/>
      <c r="D70" s="245"/>
      <c r="E70" s="246"/>
      <c r="F70" s="247">
        <f t="shared" si="0"/>
        <v>0</v>
      </c>
      <c r="G70" s="248"/>
    </row>
    <row r="71" spans="2:7" x14ac:dyDescent="0.2">
      <c r="B71" s="249"/>
      <c r="C71" s="249"/>
      <c r="D71" s="249"/>
      <c r="E71" s="250"/>
      <c r="F71" s="251" t="s">
        <v>591</v>
      </c>
      <c r="G71" s="252">
        <f>SUM(F7:F70)</f>
        <v>0</v>
      </c>
    </row>
    <row r="72" spans="2:7" x14ac:dyDescent="0.2">
      <c r="B72" s="249"/>
      <c r="C72" s="249"/>
      <c r="D72" s="249"/>
      <c r="E72" s="249"/>
      <c r="F72" s="222"/>
      <c r="G72" s="222"/>
    </row>
    <row r="73" spans="2:7" x14ac:dyDescent="0.2">
      <c r="B73" s="221"/>
      <c r="C73" s="221"/>
      <c r="D73" s="221"/>
      <c r="E73" s="221"/>
    </row>
    <row r="74" spans="2:7" x14ac:dyDescent="0.2">
      <c r="B74" s="221"/>
      <c r="C74" s="221"/>
      <c r="D74" s="221"/>
      <c r="E74" s="221"/>
    </row>
    <row r="75" spans="2:7" x14ac:dyDescent="0.2">
      <c r="B75" s="221"/>
      <c r="C75" s="221"/>
      <c r="D75" s="221"/>
      <c r="E75" s="221"/>
    </row>
    <row r="76" spans="2:7" x14ac:dyDescent="0.2">
      <c r="B76" s="221"/>
      <c r="C76" s="221"/>
      <c r="D76" s="221"/>
      <c r="E76" s="221"/>
    </row>
    <row r="77" spans="2:7" x14ac:dyDescent="0.2">
      <c r="B77" s="221"/>
      <c r="C77" s="221"/>
      <c r="D77" s="221"/>
      <c r="E77" s="221"/>
    </row>
    <row r="78" spans="2:7" x14ac:dyDescent="0.2">
      <c r="B78" s="221"/>
      <c r="C78" s="221"/>
      <c r="D78" s="221"/>
      <c r="E78" s="221"/>
    </row>
    <row r="79" spans="2:7" x14ac:dyDescent="0.2">
      <c r="B79" s="221"/>
      <c r="C79" s="221"/>
      <c r="D79" s="221"/>
      <c r="E79" s="221"/>
    </row>
    <row r="80" spans="2:7" x14ac:dyDescent="0.2">
      <c r="B80" s="221"/>
      <c r="C80" s="221"/>
      <c r="D80" s="221"/>
      <c r="E80" s="221"/>
    </row>
    <row r="81" spans="2:5" x14ac:dyDescent="0.2">
      <c r="B81" s="221"/>
      <c r="C81" s="221"/>
      <c r="D81" s="221"/>
      <c r="E81" s="221"/>
    </row>
    <row r="82" spans="2:5" x14ac:dyDescent="0.2">
      <c r="B82" s="221"/>
      <c r="C82" s="221"/>
      <c r="D82" s="221"/>
      <c r="E82" s="221"/>
    </row>
    <row r="83" spans="2:5" x14ac:dyDescent="0.2">
      <c r="B83" s="221"/>
      <c r="C83" s="221"/>
      <c r="D83" s="221"/>
      <c r="E83" s="221"/>
    </row>
    <row r="84" spans="2:5" x14ac:dyDescent="0.2">
      <c r="B84" s="221"/>
      <c r="C84" s="221"/>
      <c r="D84" s="221"/>
      <c r="E84" s="221"/>
    </row>
    <row r="85" spans="2:5" x14ac:dyDescent="0.2">
      <c r="B85" s="221"/>
      <c r="C85" s="221"/>
      <c r="D85" s="221"/>
      <c r="E85" s="221"/>
    </row>
    <row r="86" spans="2:5" x14ac:dyDescent="0.2">
      <c r="B86" s="221"/>
      <c r="C86" s="221"/>
      <c r="D86" s="221"/>
      <c r="E86" s="221"/>
    </row>
    <row r="87" spans="2:5" x14ac:dyDescent="0.2">
      <c r="B87" s="221"/>
      <c r="C87" s="221"/>
      <c r="D87" s="221"/>
      <c r="E87" s="221"/>
    </row>
    <row r="88" spans="2:5" x14ac:dyDescent="0.2">
      <c r="B88" s="221"/>
      <c r="C88" s="221"/>
      <c r="D88" s="221"/>
      <c r="E88" s="221"/>
    </row>
    <row r="89" spans="2:5" x14ac:dyDescent="0.2">
      <c r="B89" s="221"/>
      <c r="C89" s="221"/>
      <c r="D89" s="221"/>
      <c r="E89" s="221"/>
    </row>
    <row r="90" spans="2:5" x14ac:dyDescent="0.2">
      <c r="B90" s="221"/>
      <c r="C90" s="221"/>
      <c r="D90" s="221"/>
      <c r="E90" s="221"/>
    </row>
    <row r="91" spans="2:5" x14ac:dyDescent="0.2">
      <c r="B91" s="221"/>
      <c r="C91" s="221"/>
      <c r="D91" s="221"/>
      <c r="E91" s="221"/>
    </row>
    <row r="92" spans="2:5" x14ac:dyDescent="0.2">
      <c r="B92" s="221"/>
      <c r="C92" s="221"/>
      <c r="D92" s="221"/>
      <c r="E92" s="221"/>
    </row>
    <row r="93" spans="2:5" x14ac:dyDescent="0.2">
      <c r="B93" s="221"/>
      <c r="C93" s="221"/>
      <c r="D93" s="221"/>
      <c r="E93" s="221"/>
    </row>
    <row r="94" spans="2:5" x14ac:dyDescent="0.2">
      <c r="B94" s="221"/>
      <c r="C94" s="221"/>
      <c r="D94" s="221"/>
      <c r="E94" s="221"/>
    </row>
    <row r="95" spans="2:5" x14ac:dyDescent="0.2">
      <c r="B95" s="221"/>
      <c r="C95" s="221"/>
      <c r="D95" s="221"/>
      <c r="E95" s="221"/>
    </row>
    <row r="96" spans="2:5" x14ac:dyDescent="0.2">
      <c r="B96" s="221"/>
      <c r="C96" s="221"/>
      <c r="D96" s="221"/>
      <c r="E96" s="221"/>
    </row>
    <row r="97" spans="2:5" x14ac:dyDescent="0.2">
      <c r="B97" s="221"/>
      <c r="C97" s="221"/>
      <c r="D97" s="221"/>
      <c r="E97" s="221"/>
    </row>
    <row r="98" spans="2:5" x14ac:dyDescent="0.2">
      <c r="B98" s="221"/>
      <c r="C98" s="221"/>
      <c r="D98" s="221"/>
      <c r="E98" s="221"/>
    </row>
    <row r="99" spans="2:5" x14ac:dyDescent="0.2">
      <c r="B99" s="221"/>
      <c r="C99" s="221"/>
      <c r="D99" s="221"/>
      <c r="E99" s="221"/>
    </row>
    <row r="100" spans="2:5" x14ac:dyDescent="0.2">
      <c r="B100" s="221"/>
      <c r="C100" s="221"/>
      <c r="D100" s="221"/>
      <c r="E100" s="221"/>
    </row>
    <row r="101" spans="2:5" x14ac:dyDescent="0.2">
      <c r="B101" s="221"/>
      <c r="C101" s="221"/>
      <c r="D101" s="221"/>
      <c r="E101" s="221"/>
    </row>
    <row r="102" spans="2:5" x14ac:dyDescent="0.2">
      <c r="B102" s="221"/>
      <c r="C102" s="221"/>
      <c r="D102" s="221"/>
      <c r="E102" s="221"/>
    </row>
    <row r="103" spans="2:5" x14ac:dyDescent="0.2">
      <c r="B103" s="221"/>
      <c r="C103" s="221"/>
      <c r="D103" s="221"/>
      <c r="E103" s="221"/>
    </row>
    <row r="104" spans="2:5" x14ac:dyDescent="0.2">
      <c r="B104" s="221"/>
      <c r="C104" s="221"/>
      <c r="D104" s="221"/>
      <c r="E104" s="221"/>
    </row>
    <row r="105" spans="2:5" x14ac:dyDescent="0.2">
      <c r="B105" s="221"/>
      <c r="C105" s="221"/>
      <c r="D105" s="221"/>
      <c r="E105" s="221"/>
    </row>
    <row r="106" spans="2:5" x14ac:dyDescent="0.2">
      <c r="B106" s="221"/>
      <c r="C106" s="221"/>
      <c r="D106" s="221"/>
      <c r="E106" s="221"/>
    </row>
    <row r="107" spans="2:5" x14ac:dyDescent="0.2">
      <c r="B107" s="221"/>
      <c r="C107" s="221"/>
      <c r="D107" s="221"/>
      <c r="E107" s="221"/>
    </row>
    <row r="108" spans="2:5" x14ac:dyDescent="0.2">
      <c r="B108" s="221"/>
      <c r="C108" s="221"/>
      <c r="D108" s="221"/>
      <c r="E108" s="221"/>
    </row>
    <row r="109" spans="2:5" x14ac:dyDescent="0.2">
      <c r="B109" s="221"/>
      <c r="C109" s="221"/>
      <c r="D109" s="221"/>
      <c r="E109" s="221"/>
    </row>
    <row r="110" spans="2:5" x14ac:dyDescent="0.2">
      <c r="B110" s="221"/>
      <c r="C110" s="221"/>
      <c r="D110" s="221"/>
      <c r="E110" s="221"/>
    </row>
    <row r="111" spans="2:5" x14ac:dyDescent="0.2">
      <c r="B111" s="221"/>
      <c r="C111" s="221"/>
      <c r="D111" s="221"/>
      <c r="E111" s="221"/>
    </row>
    <row r="112" spans="2:5" x14ac:dyDescent="0.2">
      <c r="B112" s="221"/>
      <c r="C112" s="221"/>
      <c r="D112" s="221"/>
      <c r="E112" s="221"/>
    </row>
    <row r="113" spans="2:5" x14ac:dyDescent="0.2">
      <c r="B113" s="221"/>
      <c r="C113" s="221"/>
      <c r="D113" s="221"/>
      <c r="E113" s="221"/>
    </row>
    <row r="114" spans="2:5" x14ac:dyDescent="0.2">
      <c r="B114" s="221"/>
      <c r="C114" s="221"/>
      <c r="D114" s="221"/>
      <c r="E114" s="221"/>
    </row>
    <row r="115" spans="2:5" x14ac:dyDescent="0.2">
      <c r="B115" s="221"/>
      <c r="C115" s="221"/>
      <c r="D115" s="221"/>
      <c r="E115" s="221"/>
    </row>
    <row r="116" spans="2:5" x14ac:dyDescent="0.2">
      <c r="B116" s="221"/>
      <c r="C116" s="221"/>
      <c r="D116" s="221"/>
      <c r="E116" s="221"/>
    </row>
    <row r="117" spans="2:5" x14ac:dyDescent="0.2">
      <c r="B117" s="221"/>
      <c r="C117" s="221"/>
      <c r="D117" s="221"/>
      <c r="E117" s="221"/>
    </row>
    <row r="118" spans="2:5" x14ac:dyDescent="0.2">
      <c r="B118" s="221"/>
      <c r="C118" s="221"/>
      <c r="D118" s="221"/>
      <c r="E118" s="221"/>
    </row>
    <row r="119" spans="2:5" x14ac:dyDescent="0.2">
      <c r="B119" s="221"/>
      <c r="C119" s="221"/>
      <c r="D119" s="221"/>
      <c r="E119" s="221"/>
    </row>
    <row r="120" spans="2:5" x14ac:dyDescent="0.2">
      <c r="B120" s="221"/>
      <c r="C120" s="221"/>
      <c r="D120" s="221"/>
      <c r="E120" s="221"/>
    </row>
    <row r="121" spans="2:5" x14ac:dyDescent="0.2">
      <c r="B121" s="221"/>
      <c r="C121" s="221"/>
      <c r="D121" s="221"/>
      <c r="E121" s="221"/>
    </row>
    <row r="122" spans="2:5" x14ac:dyDescent="0.2">
      <c r="B122" s="221"/>
      <c r="C122" s="221"/>
      <c r="D122" s="221"/>
      <c r="E122" s="221"/>
    </row>
    <row r="123" spans="2:5" x14ac:dyDescent="0.2">
      <c r="B123" s="221"/>
      <c r="C123" s="221"/>
      <c r="D123" s="221"/>
      <c r="E123" s="221"/>
    </row>
    <row r="124" spans="2:5" x14ac:dyDescent="0.2">
      <c r="B124" s="221"/>
      <c r="C124" s="221"/>
      <c r="D124" s="221"/>
      <c r="E124" s="221"/>
    </row>
    <row r="125" spans="2:5" x14ac:dyDescent="0.2">
      <c r="B125" s="221"/>
      <c r="C125" s="221"/>
      <c r="D125" s="221"/>
      <c r="E125" s="221"/>
    </row>
    <row r="126" spans="2:5" x14ac:dyDescent="0.2">
      <c r="B126" s="221"/>
      <c r="C126" s="221"/>
      <c r="D126" s="221"/>
      <c r="E126" s="221"/>
    </row>
    <row r="127" spans="2:5" x14ac:dyDescent="0.2">
      <c r="B127" s="221"/>
      <c r="C127" s="221"/>
      <c r="D127" s="221"/>
      <c r="E127" s="221"/>
    </row>
    <row r="128" spans="2:5" x14ac:dyDescent="0.2">
      <c r="B128" s="221"/>
      <c r="C128" s="221"/>
      <c r="D128" s="221"/>
      <c r="E128" s="221"/>
    </row>
    <row r="129" spans="2:5" x14ac:dyDescent="0.2">
      <c r="B129" s="221"/>
      <c r="C129" s="221"/>
      <c r="D129" s="221"/>
      <c r="E129" s="221"/>
    </row>
    <row r="130" spans="2:5" x14ac:dyDescent="0.2">
      <c r="B130" s="221"/>
      <c r="C130" s="221"/>
      <c r="D130" s="221"/>
      <c r="E130" s="221"/>
    </row>
    <row r="131" spans="2:5" x14ac:dyDescent="0.2">
      <c r="B131" s="221"/>
      <c r="C131" s="221"/>
      <c r="D131" s="221"/>
      <c r="E131" s="221"/>
    </row>
    <row r="132" spans="2:5" x14ac:dyDescent="0.2">
      <c r="B132" s="221"/>
      <c r="C132" s="221"/>
      <c r="D132" s="221"/>
      <c r="E132" s="221"/>
    </row>
    <row r="133" spans="2:5" x14ac:dyDescent="0.2">
      <c r="B133" s="221"/>
      <c r="C133" s="221"/>
      <c r="D133" s="221"/>
      <c r="E133" s="221"/>
    </row>
    <row r="134" spans="2:5" x14ac:dyDescent="0.2">
      <c r="B134" s="221"/>
      <c r="C134" s="221"/>
      <c r="D134" s="221"/>
      <c r="E134" s="221"/>
    </row>
    <row r="135" spans="2:5" x14ac:dyDescent="0.2">
      <c r="B135" s="221"/>
      <c r="C135" s="221"/>
      <c r="D135" s="221"/>
      <c r="E135" s="221"/>
    </row>
    <row r="136" spans="2:5" x14ac:dyDescent="0.2">
      <c r="B136" s="221"/>
      <c r="C136" s="221"/>
      <c r="D136" s="221"/>
      <c r="E136" s="221"/>
    </row>
    <row r="137" spans="2:5" x14ac:dyDescent="0.2">
      <c r="B137" s="221"/>
      <c r="C137" s="221"/>
      <c r="D137" s="221"/>
      <c r="E137" s="221"/>
    </row>
    <row r="138" spans="2:5" x14ac:dyDescent="0.2">
      <c r="B138" s="221"/>
      <c r="C138" s="221"/>
      <c r="D138" s="221"/>
      <c r="E138" s="221"/>
    </row>
    <row r="139" spans="2:5" x14ac:dyDescent="0.2">
      <c r="B139" s="221"/>
      <c r="C139" s="221"/>
      <c r="D139" s="221"/>
      <c r="E139" s="221"/>
    </row>
    <row r="140" spans="2:5" x14ac:dyDescent="0.2">
      <c r="B140" s="221"/>
      <c r="C140" s="221"/>
      <c r="D140" s="221"/>
      <c r="E140" s="221"/>
    </row>
    <row r="141" spans="2:5" x14ac:dyDescent="0.2">
      <c r="B141" s="221"/>
      <c r="C141" s="221"/>
      <c r="D141" s="221"/>
      <c r="E141" s="221"/>
    </row>
    <row r="142" spans="2:5" x14ac:dyDescent="0.2">
      <c r="B142" s="221"/>
      <c r="C142" s="221"/>
      <c r="D142" s="221"/>
      <c r="E142" s="221"/>
    </row>
    <row r="143" spans="2:5" x14ac:dyDescent="0.2">
      <c r="B143" s="221"/>
      <c r="C143" s="221"/>
      <c r="D143" s="221"/>
      <c r="E143" s="221"/>
    </row>
    <row r="144" spans="2:5" x14ac:dyDescent="0.2">
      <c r="B144" s="221"/>
      <c r="C144" s="221"/>
      <c r="D144" s="221"/>
      <c r="E144" s="221"/>
    </row>
    <row r="145" spans="2:5" x14ac:dyDescent="0.2">
      <c r="B145" s="221"/>
      <c r="C145" s="221"/>
      <c r="D145" s="221"/>
      <c r="E145" s="221"/>
    </row>
    <row r="146" spans="2:5" x14ac:dyDescent="0.2">
      <c r="B146" s="221"/>
      <c r="C146" s="221"/>
      <c r="D146" s="221"/>
      <c r="E146" s="221"/>
    </row>
    <row r="147" spans="2:5" x14ac:dyDescent="0.2">
      <c r="B147" s="221"/>
      <c r="C147" s="221"/>
      <c r="D147" s="221"/>
      <c r="E147" s="221"/>
    </row>
    <row r="148" spans="2:5" x14ac:dyDescent="0.2">
      <c r="B148" s="221"/>
      <c r="C148" s="221"/>
      <c r="D148" s="221"/>
      <c r="E148" s="221"/>
    </row>
    <row r="149" spans="2:5" x14ac:dyDescent="0.2">
      <c r="B149" s="221"/>
      <c r="C149" s="221"/>
      <c r="D149" s="221"/>
      <c r="E149" s="221"/>
    </row>
    <row r="150" spans="2:5" x14ac:dyDescent="0.2">
      <c r="B150" s="221"/>
      <c r="C150" s="221"/>
      <c r="D150" s="221"/>
      <c r="E150" s="221"/>
    </row>
    <row r="151" spans="2:5" x14ac:dyDescent="0.2">
      <c r="B151" s="221"/>
      <c r="C151" s="221"/>
      <c r="D151" s="221"/>
      <c r="E151" s="221"/>
    </row>
    <row r="152" spans="2:5" x14ac:dyDescent="0.2">
      <c r="B152" s="221"/>
      <c r="C152" s="221"/>
      <c r="D152" s="221"/>
      <c r="E152" s="221"/>
    </row>
    <row r="153" spans="2:5" x14ac:dyDescent="0.2">
      <c r="B153" s="221"/>
      <c r="C153" s="221"/>
      <c r="D153" s="221"/>
      <c r="E153" s="221"/>
    </row>
    <row r="154" spans="2:5" x14ac:dyDescent="0.2">
      <c r="B154" s="221"/>
      <c r="C154" s="221"/>
      <c r="D154" s="221"/>
      <c r="E154" s="221"/>
    </row>
    <row r="155" spans="2:5" x14ac:dyDescent="0.2">
      <c r="B155" s="221"/>
      <c r="C155" s="221"/>
      <c r="D155" s="221"/>
      <c r="E155" s="221"/>
    </row>
    <row r="156" spans="2:5" x14ac:dyDescent="0.2">
      <c r="B156" s="221"/>
      <c r="C156" s="221"/>
      <c r="D156" s="221"/>
      <c r="E156" s="221"/>
    </row>
    <row r="157" spans="2:5" x14ac:dyDescent="0.2">
      <c r="B157" s="221"/>
      <c r="C157" s="221"/>
      <c r="D157" s="221"/>
      <c r="E157" s="221"/>
    </row>
    <row r="158" spans="2:5" x14ac:dyDescent="0.2">
      <c r="B158" s="221"/>
      <c r="C158" s="221"/>
      <c r="D158" s="221"/>
      <c r="E158" s="221"/>
    </row>
    <row r="159" spans="2:5" x14ac:dyDescent="0.2">
      <c r="B159" s="221"/>
      <c r="C159" s="221"/>
      <c r="D159" s="221"/>
      <c r="E159" s="221"/>
    </row>
    <row r="160" spans="2:5" x14ac:dyDescent="0.2">
      <c r="B160" s="221"/>
      <c r="C160" s="221"/>
      <c r="D160" s="221"/>
      <c r="E160" s="221"/>
    </row>
    <row r="161" spans="2:5" x14ac:dyDescent="0.2">
      <c r="B161" s="221"/>
      <c r="C161" s="221"/>
      <c r="D161" s="221"/>
      <c r="E161" s="221"/>
    </row>
    <row r="162" spans="2:5" x14ac:dyDescent="0.2">
      <c r="B162" s="221"/>
      <c r="C162" s="221"/>
      <c r="D162" s="221"/>
      <c r="E162" s="221"/>
    </row>
    <row r="163" spans="2:5" x14ac:dyDescent="0.2">
      <c r="B163" s="221"/>
      <c r="C163" s="221"/>
      <c r="D163" s="221"/>
      <c r="E163" s="221"/>
    </row>
    <row r="164" spans="2:5" x14ac:dyDescent="0.2">
      <c r="B164" s="221"/>
      <c r="C164" s="221"/>
      <c r="D164" s="221"/>
      <c r="E164" s="221"/>
    </row>
    <row r="165" spans="2:5" x14ac:dyDescent="0.2">
      <c r="B165" s="221"/>
      <c r="C165" s="221"/>
      <c r="D165" s="221"/>
      <c r="E165" s="221"/>
    </row>
    <row r="166" spans="2:5" x14ac:dyDescent="0.2">
      <c r="B166" s="221"/>
      <c r="C166" s="221"/>
      <c r="D166" s="221"/>
      <c r="E166" s="221"/>
    </row>
    <row r="167" spans="2:5" x14ac:dyDescent="0.2">
      <c r="B167" s="221"/>
      <c r="C167" s="221"/>
      <c r="D167" s="221"/>
      <c r="E167" s="221"/>
    </row>
    <row r="168" spans="2:5" x14ac:dyDescent="0.2">
      <c r="B168" s="221"/>
      <c r="C168" s="221"/>
      <c r="D168" s="221"/>
      <c r="E168" s="221"/>
    </row>
    <row r="169" spans="2:5" x14ac:dyDescent="0.2">
      <c r="B169" s="221"/>
      <c r="C169" s="221"/>
      <c r="D169" s="221"/>
      <c r="E169" s="221"/>
    </row>
    <row r="170" spans="2:5" x14ac:dyDescent="0.2">
      <c r="B170" s="221"/>
      <c r="C170" s="221"/>
      <c r="D170" s="221"/>
      <c r="E170" s="221"/>
    </row>
    <row r="171" spans="2:5" x14ac:dyDescent="0.2">
      <c r="B171" s="221"/>
      <c r="C171" s="221"/>
      <c r="D171" s="221"/>
      <c r="E171" s="221"/>
    </row>
    <row r="172" spans="2:5" x14ac:dyDescent="0.2">
      <c r="B172" s="221"/>
      <c r="C172" s="221"/>
      <c r="D172" s="221"/>
      <c r="E172" s="221"/>
    </row>
    <row r="173" spans="2:5" x14ac:dyDescent="0.2">
      <c r="B173" s="221"/>
      <c r="C173" s="221"/>
      <c r="D173" s="221"/>
      <c r="E173" s="221"/>
    </row>
    <row r="174" spans="2:5" x14ac:dyDescent="0.2">
      <c r="B174" s="221"/>
      <c r="C174" s="221"/>
      <c r="D174" s="221"/>
      <c r="E174" s="221"/>
    </row>
    <row r="175" spans="2:5" x14ac:dyDescent="0.2">
      <c r="B175" s="221"/>
      <c r="C175" s="221"/>
      <c r="D175" s="221"/>
      <c r="E175" s="221"/>
    </row>
    <row r="176" spans="2:5" x14ac:dyDescent="0.2">
      <c r="B176" s="221"/>
      <c r="C176" s="221"/>
      <c r="D176" s="221"/>
      <c r="E176" s="221"/>
    </row>
    <row r="177" spans="2:5" x14ac:dyDescent="0.2">
      <c r="B177" s="221"/>
      <c r="C177" s="221"/>
      <c r="D177" s="221"/>
      <c r="E177" s="221"/>
    </row>
    <row r="178" spans="2:5" x14ac:dyDescent="0.2">
      <c r="B178" s="221"/>
      <c r="C178" s="221"/>
      <c r="D178" s="221"/>
      <c r="E178" s="221"/>
    </row>
    <row r="179" spans="2:5" x14ac:dyDescent="0.2">
      <c r="B179" s="221"/>
      <c r="C179" s="221"/>
      <c r="D179" s="221"/>
      <c r="E179" s="221"/>
    </row>
    <row r="180" spans="2:5" x14ac:dyDescent="0.2">
      <c r="B180" s="221"/>
      <c r="C180" s="221"/>
      <c r="D180" s="221"/>
      <c r="E180" s="221"/>
    </row>
    <row r="181" spans="2:5" x14ac:dyDescent="0.2">
      <c r="B181" s="221"/>
      <c r="C181" s="221"/>
      <c r="D181" s="221"/>
      <c r="E181" s="221"/>
    </row>
    <row r="182" spans="2:5" x14ac:dyDescent="0.2">
      <c r="B182" s="221"/>
      <c r="C182" s="221"/>
      <c r="D182" s="221"/>
      <c r="E182" s="221"/>
    </row>
    <row r="183" spans="2:5" x14ac:dyDescent="0.2">
      <c r="B183" s="221"/>
      <c r="C183" s="221"/>
      <c r="D183" s="221"/>
      <c r="E183" s="221"/>
    </row>
    <row r="184" spans="2:5" x14ac:dyDescent="0.2">
      <c r="B184" s="221"/>
      <c r="C184" s="221"/>
      <c r="D184" s="221"/>
      <c r="E184" s="221"/>
    </row>
    <row r="185" spans="2:5" x14ac:dyDescent="0.2">
      <c r="B185" s="221"/>
      <c r="C185" s="221"/>
      <c r="D185" s="221"/>
      <c r="E185" s="221"/>
    </row>
    <row r="186" spans="2:5" x14ac:dyDescent="0.2">
      <c r="B186" s="221"/>
      <c r="C186" s="221"/>
      <c r="D186" s="221"/>
      <c r="E186" s="221"/>
    </row>
    <row r="187" spans="2:5" x14ac:dyDescent="0.2">
      <c r="B187" s="221"/>
      <c r="C187" s="221"/>
      <c r="D187" s="221"/>
      <c r="E187" s="221"/>
    </row>
    <row r="188" spans="2:5" x14ac:dyDescent="0.2">
      <c r="B188" s="221"/>
      <c r="C188" s="221"/>
      <c r="D188" s="221"/>
      <c r="E188" s="221"/>
    </row>
    <row r="189" spans="2:5" x14ac:dyDescent="0.2">
      <c r="B189" s="221"/>
      <c r="C189" s="221"/>
      <c r="D189" s="221"/>
      <c r="E189" s="221"/>
    </row>
    <row r="190" spans="2:5" x14ac:dyDescent="0.2">
      <c r="B190" s="221"/>
      <c r="C190" s="221"/>
      <c r="D190" s="221"/>
      <c r="E190" s="221"/>
    </row>
    <row r="191" spans="2:5" x14ac:dyDescent="0.2">
      <c r="B191" s="221"/>
      <c r="C191" s="221"/>
      <c r="D191" s="221"/>
      <c r="E191" s="221"/>
    </row>
    <row r="192" spans="2:5" x14ac:dyDescent="0.2">
      <c r="B192" s="221"/>
      <c r="C192" s="221"/>
      <c r="D192" s="221"/>
      <c r="E192" s="221"/>
    </row>
    <row r="193" spans="2:5" x14ac:dyDescent="0.2">
      <c r="B193" s="221"/>
      <c r="C193" s="221"/>
      <c r="D193" s="221"/>
      <c r="E193" s="221"/>
    </row>
    <row r="194" spans="2:5" x14ac:dyDescent="0.2">
      <c r="B194" s="221"/>
      <c r="C194" s="221"/>
      <c r="D194" s="221"/>
      <c r="E194" s="221"/>
    </row>
    <row r="195" spans="2:5" x14ac:dyDescent="0.2">
      <c r="B195" s="221"/>
      <c r="C195" s="221"/>
      <c r="D195" s="221"/>
      <c r="E195" s="221"/>
    </row>
    <row r="196" spans="2:5" x14ac:dyDescent="0.2">
      <c r="B196" s="221"/>
      <c r="C196" s="221"/>
      <c r="D196" s="221"/>
      <c r="E196" s="221"/>
    </row>
    <row r="197" spans="2:5" x14ac:dyDescent="0.2">
      <c r="B197" s="221"/>
      <c r="C197" s="221"/>
      <c r="D197" s="221"/>
      <c r="E197" s="221"/>
    </row>
    <row r="198" spans="2:5" x14ac:dyDescent="0.2">
      <c r="B198" s="221"/>
      <c r="C198" s="221"/>
      <c r="D198" s="221"/>
      <c r="E198" s="221"/>
    </row>
    <row r="199" spans="2:5" x14ac:dyDescent="0.2">
      <c r="B199" s="221"/>
      <c r="C199" s="221"/>
      <c r="D199" s="221"/>
      <c r="E199" s="221"/>
    </row>
    <row r="200" spans="2:5" x14ac:dyDescent="0.2">
      <c r="B200" s="221"/>
      <c r="C200" s="221"/>
      <c r="D200" s="221"/>
      <c r="E200" s="221"/>
    </row>
    <row r="201" spans="2:5" x14ac:dyDescent="0.2">
      <c r="B201" s="221"/>
      <c r="C201" s="221"/>
      <c r="D201" s="221"/>
      <c r="E201" s="221"/>
    </row>
    <row r="202" spans="2:5" x14ac:dyDescent="0.2">
      <c r="B202" s="221"/>
      <c r="C202" s="221"/>
      <c r="D202" s="221"/>
      <c r="E202" s="221"/>
    </row>
    <row r="203" spans="2:5" x14ac:dyDescent="0.2">
      <c r="B203" s="221"/>
      <c r="C203" s="221"/>
      <c r="D203" s="221"/>
      <c r="E203" s="221"/>
    </row>
    <row r="204" spans="2:5" x14ac:dyDescent="0.2">
      <c r="B204" s="221"/>
      <c r="C204" s="221"/>
      <c r="D204" s="221"/>
      <c r="E204" s="221"/>
    </row>
    <row r="205" spans="2:5" x14ac:dyDescent="0.2">
      <c r="B205" s="221"/>
      <c r="C205" s="221"/>
      <c r="D205" s="221"/>
      <c r="E205" s="221"/>
    </row>
    <row r="206" spans="2:5" x14ac:dyDescent="0.2">
      <c r="B206" s="221"/>
      <c r="C206" s="221"/>
      <c r="D206" s="221"/>
      <c r="E206" s="221"/>
    </row>
    <row r="207" spans="2:5" x14ac:dyDescent="0.2">
      <c r="B207" s="221"/>
      <c r="C207" s="221"/>
      <c r="D207" s="221"/>
      <c r="E207" s="221"/>
    </row>
    <row r="208" spans="2:5" x14ac:dyDescent="0.2">
      <c r="B208" s="221"/>
      <c r="C208" s="221"/>
      <c r="D208" s="221"/>
      <c r="E208" s="221"/>
    </row>
    <row r="209" spans="2:5" x14ac:dyDescent="0.2">
      <c r="B209" s="221"/>
      <c r="C209" s="221"/>
      <c r="D209" s="221"/>
      <c r="E209" s="221"/>
    </row>
    <row r="210" spans="2:5" x14ac:dyDescent="0.2">
      <c r="B210" s="221"/>
      <c r="C210" s="221"/>
      <c r="D210" s="221"/>
      <c r="E210" s="221"/>
    </row>
    <row r="211" spans="2:5" x14ac:dyDescent="0.2">
      <c r="B211" s="221"/>
      <c r="C211" s="221"/>
      <c r="D211" s="221"/>
      <c r="E211" s="221"/>
    </row>
    <row r="212" spans="2:5" x14ac:dyDescent="0.2">
      <c r="B212" s="221"/>
      <c r="C212" s="221"/>
      <c r="D212" s="221"/>
      <c r="E212" s="221"/>
    </row>
    <row r="213" spans="2:5" x14ac:dyDescent="0.2">
      <c r="B213" s="221"/>
      <c r="C213" s="221"/>
      <c r="D213" s="221"/>
      <c r="E213" s="221"/>
    </row>
    <row r="214" spans="2:5" x14ac:dyDescent="0.2">
      <c r="B214" s="221"/>
      <c r="C214" s="221"/>
      <c r="D214" s="221"/>
      <c r="E214" s="221"/>
    </row>
    <row r="215" spans="2:5" x14ac:dyDescent="0.2">
      <c r="B215" s="221"/>
      <c r="C215" s="221"/>
      <c r="D215" s="221"/>
      <c r="E215" s="221"/>
    </row>
    <row r="216" spans="2:5" x14ac:dyDescent="0.2">
      <c r="B216" s="221"/>
      <c r="C216" s="221"/>
      <c r="D216" s="221"/>
      <c r="E216" s="221"/>
    </row>
    <row r="217" spans="2:5" x14ac:dyDescent="0.2">
      <c r="B217" s="221"/>
      <c r="C217" s="221"/>
      <c r="D217" s="221"/>
      <c r="E217" s="221"/>
    </row>
    <row r="218" spans="2:5" x14ac:dyDescent="0.2">
      <c r="B218" s="221"/>
      <c r="C218" s="221"/>
      <c r="D218" s="221"/>
      <c r="E218" s="221"/>
    </row>
    <row r="219" spans="2:5" x14ac:dyDescent="0.2">
      <c r="B219" s="221"/>
      <c r="C219" s="221"/>
      <c r="D219" s="221"/>
      <c r="E219" s="221"/>
    </row>
    <row r="220" spans="2:5" x14ac:dyDescent="0.2">
      <c r="B220" s="221"/>
      <c r="C220" s="221"/>
      <c r="D220" s="221"/>
      <c r="E220" s="221"/>
    </row>
    <row r="221" spans="2:5" x14ac:dyDescent="0.2">
      <c r="B221" s="221"/>
      <c r="C221" s="221"/>
      <c r="D221" s="221"/>
      <c r="E221" s="221"/>
    </row>
    <row r="222" spans="2:5" x14ac:dyDescent="0.2">
      <c r="B222" s="221"/>
      <c r="C222" s="221"/>
      <c r="D222" s="221"/>
      <c r="E222" s="221"/>
    </row>
    <row r="223" spans="2:5" x14ac:dyDescent="0.2">
      <c r="B223" s="221"/>
      <c r="C223" s="221"/>
      <c r="D223" s="221"/>
      <c r="E223" s="221"/>
    </row>
    <row r="224" spans="2:5" x14ac:dyDescent="0.2">
      <c r="B224" s="221"/>
      <c r="C224" s="221"/>
      <c r="D224" s="221"/>
      <c r="E224" s="221"/>
    </row>
    <row r="225" spans="2:5" x14ac:dyDescent="0.2">
      <c r="B225" s="221"/>
      <c r="C225" s="221"/>
      <c r="D225" s="221"/>
      <c r="E225" s="221"/>
    </row>
    <row r="226" spans="2:5" x14ac:dyDescent="0.2">
      <c r="B226" s="221"/>
      <c r="C226" s="221"/>
      <c r="D226" s="221"/>
      <c r="E226" s="221"/>
    </row>
    <row r="227" spans="2:5" x14ac:dyDescent="0.2">
      <c r="B227" s="221"/>
      <c r="C227" s="221"/>
      <c r="D227" s="221"/>
      <c r="E227" s="221"/>
    </row>
    <row r="228" spans="2:5" x14ac:dyDescent="0.2">
      <c r="B228" s="221"/>
      <c r="C228" s="221"/>
      <c r="D228" s="221"/>
      <c r="E228" s="221"/>
    </row>
    <row r="229" spans="2:5" x14ac:dyDescent="0.2">
      <c r="B229" s="221"/>
      <c r="C229" s="221"/>
      <c r="D229" s="221"/>
      <c r="E229" s="221"/>
    </row>
    <row r="230" spans="2:5" x14ac:dyDescent="0.2">
      <c r="B230" s="221"/>
      <c r="C230" s="221"/>
      <c r="D230" s="221"/>
      <c r="E230" s="221"/>
    </row>
    <row r="231" spans="2:5" x14ac:dyDescent="0.2">
      <c r="B231" s="221"/>
      <c r="C231" s="221"/>
      <c r="D231" s="221"/>
      <c r="E231" s="221"/>
    </row>
    <row r="232" spans="2:5" x14ac:dyDescent="0.2">
      <c r="B232" s="221"/>
      <c r="C232" s="221"/>
      <c r="D232" s="221"/>
      <c r="E232" s="221"/>
    </row>
    <row r="233" spans="2:5" x14ac:dyDescent="0.2">
      <c r="B233" s="221"/>
      <c r="C233" s="221"/>
      <c r="D233" s="221"/>
      <c r="E233" s="221"/>
    </row>
    <row r="234" spans="2:5" x14ac:dyDescent="0.2">
      <c r="B234" s="221"/>
      <c r="C234" s="221"/>
      <c r="D234" s="221"/>
      <c r="E234" s="221"/>
    </row>
    <row r="235" spans="2:5" x14ac:dyDescent="0.2">
      <c r="B235" s="221"/>
      <c r="C235" s="221"/>
      <c r="D235" s="221"/>
      <c r="E235" s="221"/>
    </row>
    <row r="236" spans="2:5" x14ac:dyDescent="0.2">
      <c r="B236" s="221"/>
      <c r="C236" s="221"/>
      <c r="D236" s="221"/>
      <c r="E236" s="221"/>
    </row>
    <row r="237" spans="2:5" x14ac:dyDescent="0.2">
      <c r="B237" s="221"/>
      <c r="C237" s="221"/>
      <c r="D237" s="221"/>
      <c r="E237" s="221"/>
    </row>
    <row r="238" spans="2:5" x14ac:dyDescent="0.2">
      <c r="B238" s="221"/>
      <c r="C238" s="221"/>
      <c r="D238" s="221"/>
      <c r="E238" s="221"/>
    </row>
    <row r="239" spans="2:5" x14ac:dyDescent="0.2">
      <c r="B239" s="221"/>
      <c r="C239" s="221"/>
      <c r="D239" s="221"/>
      <c r="E239" s="221"/>
    </row>
    <row r="240" spans="2:5" x14ac:dyDescent="0.2">
      <c r="B240" s="221"/>
      <c r="C240" s="221"/>
      <c r="D240" s="221"/>
      <c r="E240" s="221"/>
    </row>
    <row r="241" spans="2:5" x14ac:dyDescent="0.2">
      <c r="B241" s="221"/>
      <c r="C241" s="221"/>
      <c r="D241" s="221"/>
      <c r="E241" s="221"/>
    </row>
    <row r="242" spans="2:5" x14ac:dyDescent="0.2">
      <c r="B242" s="221"/>
      <c r="C242" s="221"/>
      <c r="D242" s="221"/>
      <c r="E242" s="221"/>
    </row>
    <row r="243" spans="2:5" x14ac:dyDescent="0.2">
      <c r="B243" s="221"/>
      <c r="C243" s="221"/>
      <c r="D243" s="221"/>
      <c r="E243" s="221"/>
    </row>
    <row r="244" spans="2:5" x14ac:dyDescent="0.2">
      <c r="B244" s="221"/>
      <c r="C244" s="221"/>
      <c r="D244" s="221"/>
      <c r="E244" s="221"/>
    </row>
    <row r="245" spans="2:5" x14ac:dyDescent="0.2">
      <c r="B245" s="221"/>
      <c r="C245" s="221"/>
      <c r="D245" s="221"/>
      <c r="E245" s="221"/>
    </row>
    <row r="246" spans="2:5" x14ac:dyDescent="0.2">
      <c r="B246" s="221"/>
      <c r="C246" s="221"/>
      <c r="D246" s="221"/>
      <c r="E246" s="221"/>
    </row>
    <row r="247" spans="2:5" x14ac:dyDescent="0.2">
      <c r="B247" s="221"/>
      <c r="C247" s="221"/>
      <c r="D247" s="221"/>
      <c r="E247" s="221"/>
    </row>
    <row r="248" spans="2:5" x14ac:dyDescent="0.2">
      <c r="B248" s="221"/>
      <c r="C248" s="221"/>
      <c r="D248" s="221"/>
      <c r="E248" s="221"/>
    </row>
    <row r="249" spans="2:5" x14ac:dyDescent="0.2">
      <c r="B249" s="221"/>
      <c r="C249" s="221"/>
      <c r="D249" s="221"/>
      <c r="E249" s="221"/>
    </row>
    <row r="250" spans="2:5" x14ac:dyDescent="0.2">
      <c r="B250" s="221"/>
      <c r="C250" s="221"/>
      <c r="D250" s="221"/>
      <c r="E250" s="221"/>
    </row>
    <row r="251" spans="2:5" x14ac:dyDescent="0.2">
      <c r="B251" s="221"/>
      <c r="C251" s="221"/>
      <c r="D251" s="221"/>
      <c r="E251" s="221"/>
    </row>
    <row r="252" spans="2:5" x14ac:dyDescent="0.2">
      <c r="B252" s="221"/>
      <c r="C252" s="221"/>
      <c r="D252" s="221"/>
      <c r="E252" s="221"/>
    </row>
    <row r="253" spans="2:5" x14ac:dyDescent="0.2">
      <c r="B253" s="221"/>
      <c r="C253" s="221"/>
      <c r="D253" s="221"/>
      <c r="E253" s="221"/>
    </row>
    <row r="254" spans="2:5" x14ac:dyDescent="0.2">
      <c r="B254" s="221"/>
      <c r="C254" s="221"/>
      <c r="D254" s="221"/>
      <c r="E254" s="221"/>
    </row>
    <row r="255" spans="2:5" x14ac:dyDescent="0.2">
      <c r="B255" s="221"/>
      <c r="C255" s="221"/>
      <c r="D255" s="221"/>
      <c r="E255" s="221"/>
    </row>
    <row r="256" spans="2:5" x14ac:dyDescent="0.2">
      <c r="B256" s="221"/>
      <c r="C256" s="221"/>
      <c r="D256" s="221"/>
      <c r="E256" s="221"/>
    </row>
    <row r="257" spans="2:5" x14ac:dyDescent="0.2">
      <c r="B257" s="221"/>
      <c r="C257" s="221"/>
      <c r="D257" s="221"/>
      <c r="E257" s="221"/>
    </row>
    <row r="258" spans="2:5" x14ac:dyDescent="0.2">
      <c r="B258" s="221"/>
      <c r="C258" s="221"/>
      <c r="D258" s="221"/>
      <c r="E258" s="221"/>
    </row>
    <row r="259" spans="2:5" x14ac:dyDescent="0.2">
      <c r="B259" s="221"/>
      <c r="C259" s="221"/>
      <c r="D259" s="221"/>
      <c r="E259" s="221"/>
    </row>
    <row r="260" spans="2:5" x14ac:dyDescent="0.2">
      <c r="B260" s="221"/>
      <c r="C260" s="221"/>
      <c r="D260" s="221"/>
      <c r="E260" s="221"/>
    </row>
    <row r="261" spans="2:5" x14ac:dyDescent="0.2">
      <c r="B261" s="221"/>
      <c r="C261" s="221"/>
      <c r="D261" s="221"/>
      <c r="E261" s="221"/>
    </row>
    <row r="262" spans="2:5" x14ac:dyDescent="0.2">
      <c r="B262" s="221"/>
      <c r="C262" s="221"/>
      <c r="D262" s="221"/>
      <c r="E262" s="221"/>
    </row>
    <row r="263" spans="2:5" x14ac:dyDescent="0.2">
      <c r="B263" s="221"/>
      <c r="C263" s="221"/>
      <c r="D263" s="221"/>
      <c r="E263" s="221"/>
    </row>
    <row r="264" spans="2:5" x14ac:dyDescent="0.2">
      <c r="B264" s="221"/>
      <c r="C264" s="221"/>
      <c r="D264" s="221"/>
      <c r="E264" s="221"/>
    </row>
    <row r="265" spans="2:5" x14ac:dyDescent="0.2">
      <c r="B265" s="221"/>
      <c r="C265" s="221"/>
      <c r="D265" s="221"/>
      <c r="E265" s="221"/>
    </row>
    <row r="266" spans="2:5" x14ac:dyDescent="0.2">
      <c r="B266" s="221"/>
      <c r="C266" s="221"/>
      <c r="D266" s="221"/>
      <c r="E266" s="221"/>
    </row>
    <row r="267" spans="2:5" x14ac:dyDescent="0.2">
      <c r="B267" s="221"/>
      <c r="C267" s="221"/>
      <c r="D267" s="221"/>
      <c r="E267" s="221"/>
    </row>
    <row r="268" spans="2:5" x14ac:dyDescent="0.2">
      <c r="B268" s="221"/>
      <c r="C268" s="221"/>
      <c r="D268" s="221"/>
      <c r="E268" s="221"/>
    </row>
    <row r="269" spans="2:5" x14ac:dyDescent="0.2">
      <c r="B269" s="221"/>
      <c r="C269" s="221"/>
      <c r="D269" s="221"/>
      <c r="E269" s="221"/>
    </row>
    <row r="270" spans="2:5" x14ac:dyDescent="0.2">
      <c r="B270" s="221"/>
      <c r="C270" s="221"/>
      <c r="D270" s="221"/>
      <c r="E270" s="221"/>
    </row>
    <row r="271" spans="2:5" x14ac:dyDescent="0.2">
      <c r="B271" s="221"/>
      <c r="C271" s="221"/>
      <c r="D271" s="221"/>
      <c r="E271" s="221"/>
    </row>
    <row r="272" spans="2:5" x14ac:dyDescent="0.2">
      <c r="B272" s="221"/>
      <c r="C272" s="221"/>
      <c r="D272" s="221"/>
      <c r="E272" s="221"/>
    </row>
    <row r="273" spans="2:5" x14ac:dyDescent="0.2">
      <c r="B273" s="221"/>
      <c r="C273" s="221"/>
      <c r="D273" s="221"/>
      <c r="E273" s="221"/>
    </row>
    <row r="274" spans="2:5" x14ac:dyDescent="0.2">
      <c r="B274" s="221"/>
      <c r="C274" s="221"/>
      <c r="D274" s="221"/>
      <c r="E274" s="221"/>
    </row>
    <row r="275" spans="2:5" x14ac:dyDescent="0.2">
      <c r="B275" s="221"/>
      <c r="C275" s="221"/>
      <c r="D275" s="221"/>
      <c r="E275" s="221"/>
    </row>
    <row r="276" spans="2:5" x14ac:dyDescent="0.2">
      <c r="B276" s="221"/>
      <c r="C276" s="221"/>
      <c r="D276" s="221"/>
      <c r="E276" s="221"/>
    </row>
    <row r="277" spans="2:5" x14ac:dyDescent="0.2">
      <c r="B277" s="221"/>
      <c r="C277" s="221"/>
      <c r="D277" s="221"/>
      <c r="E277" s="221"/>
    </row>
    <row r="278" spans="2:5" x14ac:dyDescent="0.2">
      <c r="B278" s="221"/>
      <c r="C278" s="221"/>
      <c r="D278" s="221"/>
      <c r="E278" s="221"/>
    </row>
    <row r="279" spans="2:5" x14ac:dyDescent="0.2">
      <c r="B279" s="221"/>
      <c r="C279" s="221"/>
      <c r="D279" s="221"/>
      <c r="E279" s="221"/>
    </row>
    <row r="280" spans="2:5" x14ac:dyDescent="0.2">
      <c r="B280" s="221"/>
      <c r="C280" s="221"/>
      <c r="D280" s="221"/>
      <c r="E280" s="221"/>
    </row>
    <row r="281" spans="2:5" x14ac:dyDescent="0.2">
      <c r="B281" s="221"/>
      <c r="C281" s="221"/>
      <c r="D281" s="221"/>
      <c r="E281" s="221"/>
    </row>
    <row r="282" spans="2:5" x14ac:dyDescent="0.2">
      <c r="B282" s="221"/>
      <c r="C282" s="221"/>
      <c r="D282" s="221"/>
      <c r="E282" s="221"/>
    </row>
    <row r="283" spans="2:5" x14ac:dyDescent="0.2">
      <c r="B283" s="221"/>
      <c r="C283" s="221"/>
      <c r="D283" s="221"/>
      <c r="E283" s="221"/>
    </row>
    <row r="284" spans="2:5" x14ac:dyDescent="0.2">
      <c r="B284" s="221"/>
      <c r="C284" s="221"/>
      <c r="D284" s="221"/>
      <c r="E284" s="221"/>
    </row>
    <row r="285" spans="2:5" x14ac:dyDescent="0.2">
      <c r="B285" s="221"/>
      <c r="C285" s="221"/>
      <c r="D285" s="221"/>
      <c r="E285" s="221"/>
    </row>
    <row r="286" spans="2:5" x14ac:dyDescent="0.2">
      <c r="B286" s="221"/>
      <c r="C286" s="221"/>
      <c r="D286" s="221"/>
      <c r="E286" s="221"/>
    </row>
    <row r="287" spans="2:5" x14ac:dyDescent="0.2">
      <c r="B287" s="221"/>
      <c r="C287" s="221"/>
      <c r="D287" s="221"/>
      <c r="E287" s="221"/>
    </row>
    <row r="288" spans="2:5" x14ac:dyDescent="0.2">
      <c r="B288" s="221"/>
      <c r="C288" s="221"/>
      <c r="D288" s="221"/>
      <c r="E288" s="221"/>
    </row>
    <row r="289" spans="2:5" x14ac:dyDescent="0.2">
      <c r="B289" s="221"/>
      <c r="C289" s="221"/>
      <c r="D289" s="221"/>
      <c r="E289" s="221"/>
    </row>
    <row r="290" spans="2:5" x14ac:dyDescent="0.2">
      <c r="B290" s="221"/>
      <c r="C290" s="221"/>
      <c r="D290" s="221"/>
      <c r="E290" s="221"/>
    </row>
    <row r="291" spans="2:5" x14ac:dyDescent="0.2">
      <c r="B291" s="221"/>
      <c r="C291" s="221"/>
      <c r="D291" s="221"/>
      <c r="E291" s="221"/>
    </row>
    <row r="292" spans="2:5" x14ac:dyDescent="0.2">
      <c r="B292" s="221"/>
      <c r="C292" s="221"/>
      <c r="D292" s="221"/>
      <c r="E292" s="221"/>
    </row>
    <row r="293" spans="2:5" x14ac:dyDescent="0.2">
      <c r="B293" s="221"/>
      <c r="C293" s="221"/>
      <c r="D293" s="221"/>
      <c r="E293" s="221"/>
    </row>
    <row r="294" spans="2:5" x14ac:dyDescent="0.2">
      <c r="B294" s="221"/>
      <c r="C294" s="221"/>
      <c r="D294" s="221"/>
      <c r="E294" s="221"/>
    </row>
    <row r="295" spans="2:5" x14ac:dyDescent="0.2">
      <c r="B295" s="221"/>
      <c r="C295" s="221"/>
      <c r="D295" s="221"/>
      <c r="E295" s="221"/>
    </row>
    <row r="296" spans="2:5" x14ac:dyDescent="0.2">
      <c r="B296" s="221"/>
      <c r="C296" s="221"/>
      <c r="D296" s="221"/>
      <c r="E296" s="221"/>
    </row>
    <row r="297" spans="2:5" x14ac:dyDescent="0.2">
      <c r="B297" s="221"/>
      <c r="C297" s="221"/>
      <c r="D297" s="221"/>
      <c r="E297" s="221"/>
    </row>
    <row r="298" spans="2:5" x14ac:dyDescent="0.2">
      <c r="B298" s="221"/>
      <c r="C298" s="221"/>
      <c r="D298" s="221"/>
      <c r="E298" s="221"/>
    </row>
    <row r="299" spans="2:5" x14ac:dyDescent="0.2">
      <c r="B299" s="221"/>
      <c r="C299" s="221"/>
      <c r="D299" s="221"/>
      <c r="E299" s="221"/>
    </row>
    <row r="300" spans="2:5" x14ac:dyDescent="0.2">
      <c r="B300" s="221"/>
      <c r="C300" s="221"/>
      <c r="D300" s="221"/>
      <c r="E300" s="221"/>
    </row>
    <row r="301" spans="2:5" x14ac:dyDescent="0.2">
      <c r="B301" s="221"/>
      <c r="C301" s="221"/>
      <c r="D301" s="221"/>
      <c r="E301" s="221"/>
    </row>
    <row r="302" spans="2:5" x14ac:dyDescent="0.2">
      <c r="B302" s="221"/>
      <c r="C302" s="221"/>
      <c r="D302" s="221"/>
      <c r="E302" s="221"/>
    </row>
    <row r="303" spans="2:5" x14ac:dyDescent="0.2">
      <c r="B303" s="221"/>
      <c r="C303" s="221"/>
      <c r="D303" s="221"/>
      <c r="E303" s="221"/>
    </row>
    <row r="304" spans="2:5" x14ac:dyDescent="0.2">
      <c r="B304" s="221"/>
      <c r="C304" s="221"/>
      <c r="D304" s="221"/>
      <c r="E304" s="221"/>
    </row>
    <row r="305" spans="2:5" x14ac:dyDescent="0.2">
      <c r="B305" s="221"/>
      <c r="C305" s="221"/>
      <c r="D305" s="221"/>
      <c r="E305" s="221"/>
    </row>
    <row r="306" spans="2:5" x14ac:dyDescent="0.2">
      <c r="B306" s="221"/>
      <c r="C306" s="221"/>
      <c r="D306" s="221"/>
      <c r="E306" s="221"/>
    </row>
    <row r="307" spans="2:5" x14ac:dyDescent="0.2">
      <c r="B307" s="221"/>
      <c r="C307" s="221"/>
      <c r="D307" s="221"/>
      <c r="E307" s="221"/>
    </row>
    <row r="308" spans="2:5" x14ac:dyDescent="0.2">
      <c r="B308" s="221"/>
      <c r="C308" s="221"/>
      <c r="D308" s="221"/>
      <c r="E308" s="221"/>
    </row>
    <row r="309" spans="2:5" x14ac:dyDescent="0.2">
      <c r="B309" s="221"/>
      <c r="C309" s="221"/>
      <c r="D309" s="221"/>
      <c r="E309" s="221"/>
    </row>
    <row r="310" spans="2:5" x14ac:dyDescent="0.2">
      <c r="B310" s="221"/>
      <c r="C310" s="221"/>
      <c r="D310" s="221"/>
      <c r="E310" s="221"/>
    </row>
    <row r="311" spans="2:5" x14ac:dyDescent="0.2">
      <c r="B311" s="221"/>
      <c r="C311" s="221"/>
      <c r="D311" s="221"/>
      <c r="E311" s="221"/>
    </row>
    <row r="312" spans="2:5" x14ac:dyDescent="0.2">
      <c r="B312" s="221"/>
      <c r="C312" s="221"/>
      <c r="D312" s="221"/>
      <c r="E312" s="221"/>
    </row>
    <row r="313" spans="2:5" x14ac:dyDescent="0.2">
      <c r="B313" s="221"/>
      <c r="C313" s="221"/>
      <c r="D313" s="221"/>
      <c r="E313" s="221"/>
    </row>
    <row r="314" spans="2:5" x14ac:dyDescent="0.2">
      <c r="B314" s="221"/>
      <c r="C314" s="221"/>
      <c r="D314" s="221"/>
      <c r="E314" s="221"/>
    </row>
    <row r="315" spans="2:5" x14ac:dyDescent="0.2">
      <c r="B315" s="221"/>
      <c r="C315" s="221"/>
      <c r="D315" s="221"/>
      <c r="E315" s="221"/>
    </row>
    <row r="316" spans="2:5" x14ac:dyDescent="0.2">
      <c r="B316" s="221"/>
      <c r="C316" s="221"/>
      <c r="D316" s="221"/>
      <c r="E316" s="221"/>
    </row>
    <row r="317" spans="2:5" x14ac:dyDescent="0.2">
      <c r="B317" s="221"/>
      <c r="C317" s="221"/>
      <c r="D317" s="221"/>
      <c r="E317" s="221"/>
    </row>
    <row r="318" spans="2:5" x14ac:dyDescent="0.2">
      <c r="B318" s="221"/>
      <c r="C318" s="221"/>
      <c r="D318" s="221"/>
      <c r="E318" s="221"/>
    </row>
    <row r="319" spans="2:5" x14ac:dyDescent="0.2">
      <c r="B319" s="221"/>
      <c r="C319" s="221"/>
      <c r="D319" s="221"/>
      <c r="E319" s="221"/>
    </row>
    <row r="320" spans="2:5" x14ac:dyDescent="0.2">
      <c r="B320" s="221"/>
      <c r="C320" s="221"/>
      <c r="D320" s="221"/>
      <c r="E320" s="221"/>
    </row>
    <row r="321" spans="2:5" x14ac:dyDescent="0.2">
      <c r="B321" s="221"/>
      <c r="C321" s="221"/>
      <c r="D321" s="221"/>
      <c r="E321" s="221"/>
    </row>
    <row r="322" spans="2:5" x14ac:dyDescent="0.2">
      <c r="B322" s="221"/>
      <c r="C322" s="221"/>
      <c r="D322" s="221"/>
      <c r="E322" s="221"/>
    </row>
    <row r="323" spans="2:5" x14ac:dyDescent="0.2">
      <c r="B323" s="221"/>
      <c r="C323" s="221"/>
      <c r="D323" s="221"/>
      <c r="E323" s="221"/>
    </row>
    <row r="324" spans="2:5" x14ac:dyDescent="0.2">
      <c r="B324" s="221"/>
      <c r="C324" s="221"/>
      <c r="D324" s="221"/>
      <c r="E324" s="221"/>
    </row>
    <row r="325" spans="2:5" x14ac:dyDescent="0.2">
      <c r="B325" s="221"/>
      <c r="C325" s="221"/>
      <c r="D325" s="221"/>
      <c r="E325" s="221"/>
    </row>
    <row r="326" spans="2:5" x14ac:dyDescent="0.2">
      <c r="B326" s="221"/>
      <c r="C326" s="221"/>
      <c r="D326" s="221"/>
      <c r="E326" s="221"/>
    </row>
    <row r="327" spans="2:5" x14ac:dyDescent="0.2">
      <c r="B327" s="221"/>
      <c r="C327" s="221"/>
      <c r="D327" s="221"/>
      <c r="E327" s="221"/>
    </row>
    <row r="328" spans="2:5" x14ac:dyDescent="0.2">
      <c r="B328" s="221"/>
      <c r="C328" s="221"/>
      <c r="D328" s="221"/>
      <c r="E328" s="221"/>
    </row>
    <row r="329" spans="2:5" x14ac:dyDescent="0.2">
      <c r="B329" s="221"/>
      <c r="C329" s="221"/>
      <c r="D329" s="221"/>
      <c r="E329" s="221"/>
    </row>
    <row r="330" spans="2:5" x14ac:dyDescent="0.2">
      <c r="B330" s="221"/>
      <c r="C330" s="221"/>
      <c r="D330" s="221"/>
      <c r="E330" s="221"/>
    </row>
    <row r="331" spans="2:5" x14ac:dyDescent="0.2">
      <c r="B331" s="221"/>
      <c r="C331" s="221"/>
      <c r="D331" s="221"/>
      <c r="E331" s="221"/>
    </row>
    <row r="332" spans="2:5" x14ac:dyDescent="0.2">
      <c r="B332" s="221"/>
      <c r="C332" s="221"/>
      <c r="D332" s="221"/>
      <c r="E332" s="221"/>
    </row>
    <row r="333" spans="2:5" x14ac:dyDescent="0.2">
      <c r="B333" s="221"/>
      <c r="C333" s="221"/>
      <c r="D333" s="221"/>
      <c r="E333" s="221"/>
    </row>
    <row r="334" spans="2:5" x14ac:dyDescent="0.2">
      <c r="B334" s="221"/>
      <c r="C334" s="221"/>
      <c r="D334" s="221"/>
      <c r="E334" s="221"/>
    </row>
    <row r="335" spans="2:5" x14ac:dyDescent="0.2">
      <c r="B335" s="221"/>
      <c r="C335" s="221"/>
      <c r="D335" s="221"/>
      <c r="E335" s="221"/>
    </row>
    <row r="336" spans="2:5" x14ac:dyDescent="0.2">
      <c r="B336" s="221"/>
      <c r="C336" s="221"/>
      <c r="D336" s="221"/>
      <c r="E336" s="221"/>
    </row>
    <row r="337" spans="2:5" x14ac:dyDescent="0.2">
      <c r="B337" s="221"/>
      <c r="C337" s="221"/>
      <c r="D337" s="221"/>
      <c r="E337" s="221"/>
    </row>
    <row r="338" spans="2:5" x14ac:dyDescent="0.2">
      <c r="B338" s="221"/>
      <c r="C338" s="221"/>
      <c r="D338" s="221"/>
      <c r="E338" s="221"/>
    </row>
    <row r="339" spans="2:5" x14ac:dyDescent="0.2">
      <c r="B339" s="221"/>
      <c r="C339" s="221"/>
      <c r="D339" s="221"/>
      <c r="E339" s="221"/>
    </row>
    <row r="340" spans="2:5" x14ac:dyDescent="0.2">
      <c r="B340" s="221"/>
      <c r="C340" s="221"/>
      <c r="D340" s="221"/>
      <c r="E340" s="221"/>
    </row>
    <row r="341" spans="2:5" x14ac:dyDescent="0.2">
      <c r="B341" s="221"/>
      <c r="C341" s="221"/>
      <c r="D341" s="221"/>
      <c r="E341" s="221"/>
    </row>
    <row r="342" spans="2:5" x14ac:dyDescent="0.2">
      <c r="B342" s="221"/>
      <c r="C342" s="221"/>
      <c r="D342" s="221"/>
      <c r="E342" s="221"/>
    </row>
    <row r="343" spans="2:5" x14ac:dyDescent="0.2">
      <c r="B343" s="221"/>
      <c r="C343" s="221"/>
      <c r="D343" s="221"/>
      <c r="E343" s="221"/>
    </row>
    <row r="344" spans="2:5" x14ac:dyDescent="0.2">
      <c r="B344" s="221"/>
      <c r="C344" s="221"/>
      <c r="D344" s="221"/>
      <c r="E344" s="221"/>
    </row>
    <row r="345" spans="2:5" x14ac:dyDescent="0.2">
      <c r="B345" s="221"/>
      <c r="C345" s="221"/>
      <c r="D345" s="221"/>
      <c r="E345" s="221"/>
    </row>
    <row r="346" spans="2:5" x14ac:dyDescent="0.2">
      <c r="B346" s="221"/>
      <c r="C346" s="221"/>
      <c r="D346" s="221"/>
      <c r="E346" s="221"/>
    </row>
    <row r="347" spans="2:5" x14ac:dyDescent="0.2">
      <c r="B347" s="221"/>
      <c r="C347" s="221"/>
      <c r="D347" s="221"/>
      <c r="E347" s="221"/>
    </row>
    <row r="348" spans="2:5" x14ac:dyDescent="0.2">
      <c r="B348" s="221"/>
      <c r="C348" s="221"/>
      <c r="D348" s="221"/>
      <c r="E348" s="221"/>
    </row>
    <row r="349" spans="2:5" x14ac:dyDescent="0.2">
      <c r="B349" s="221"/>
      <c r="C349" s="221"/>
      <c r="D349" s="221"/>
      <c r="E349" s="221"/>
    </row>
    <row r="350" spans="2:5" x14ac:dyDescent="0.2">
      <c r="B350" s="221"/>
      <c r="C350" s="221"/>
      <c r="D350" s="221"/>
      <c r="E350" s="221"/>
    </row>
    <row r="351" spans="2:5" x14ac:dyDescent="0.2">
      <c r="B351" s="221"/>
      <c r="C351" s="221"/>
      <c r="D351" s="221"/>
      <c r="E351" s="221"/>
    </row>
    <row r="352" spans="2:5" x14ac:dyDescent="0.2">
      <c r="B352" s="221"/>
      <c r="C352" s="221"/>
      <c r="D352" s="221"/>
      <c r="E352" s="221"/>
    </row>
    <row r="353" spans="2:5" x14ac:dyDescent="0.2">
      <c r="B353" s="221"/>
      <c r="C353" s="221"/>
      <c r="D353" s="221"/>
      <c r="E353" s="221"/>
    </row>
    <row r="354" spans="2:5" x14ac:dyDescent="0.2">
      <c r="B354" s="221"/>
      <c r="C354" s="221"/>
      <c r="D354" s="221"/>
      <c r="E354" s="221"/>
    </row>
    <row r="355" spans="2:5" x14ac:dyDescent="0.2">
      <c r="B355" s="221"/>
      <c r="C355" s="221"/>
      <c r="D355" s="221"/>
      <c r="E355" s="221"/>
    </row>
    <row r="356" spans="2:5" x14ac:dyDescent="0.2">
      <c r="B356" s="221"/>
      <c r="C356" s="221"/>
      <c r="D356" s="221"/>
      <c r="E356" s="221"/>
    </row>
    <row r="357" spans="2:5" x14ac:dyDescent="0.2">
      <c r="B357" s="221"/>
      <c r="C357" s="221"/>
      <c r="D357" s="221"/>
      <c r="E357" s="221"/>
    </row>
    <row r="358" spans="2:5" x14ac:dyDescent="0.2">
      <c r="B358" s="221"/>
      <c r="C358" s="221"/>
      <c r="D358" s="221"/>
      <c r="E358" s="221"/>
    </row>
    <row r="359" spans="2:5" x14ac:dyDescent="0.2">
      <c r="B359" s="221"/>
      <c r="C359" s="221"/>
      <c r="D359" s="221"/>
      <c r="E359" s="221"/>
    </row>
    <row r="360" spans="2:5" x14ac:dyDescent="0.2">
      <c r="B360" s="221"/>
      <c r="C360" s="221"/>
      <c r="D360" s="221"/>
      <c r="E360" s="221"/>
    </row>
    <row r="361" spans="2:5" x14ac:dyDescent="0.2">
      <c r="B361" s="221"/>
      <c r="C361" s="221"/>
      <c r="D361" s="221"/>
      <c r="E361" s="221"/>
    </row>
    <row r="362" spans="2:5" x14ac:dyDescent="0.2">
      <c r="B362" s="221"/>
      <c r="C362" s="221"/>
      <c r="D362" s="221"/>
      <c r="E362" s="221"/>
    </row>
    <row r="363" spans="2:5" x14ac:dyDescent="0.2">
      <c r="B363" s="221"/>
      <c r="C363" s="221"/>
      <c r="D363" s="221"/>
      <c r="E363" s="221"/>
    </row>
    <row r="364" spans="2:5" x14ac:dyDescent="0.2">
      <c r="B364" s="221"/>
      <c r="C364" s="221"/>
      <c r="D364" s="221"/>
      <c r="E364" s="221"/>
    </row>
    <row r="365" spans="2:5" x14ac:dyDescent="0.2">
      <c r="B365" s="221"/>
      <c r="C365" s="221"/>
      <c r="D365" s="221"/>
      <c r="E365" s="221"/>
    </row>
    <row r="366" spans="2:5" x14ac:dyDescent="0.2">
      <c r="B366" s="221"/>
      <c r="C366" s="221"/>
      <c r="D366" s="221"/>
      <c r="E366" s="221"/>
    </row>
    <row r="367" spans="2:5" x14ac:dyDescent="0.2">
      <c r="B367" s="221"/>
      <c r="C367" s="221"/>
      <c r="D367" s="221"/>
      <c r="E367" s="221"/>
    </row>
    <row r="368" spans="2:5" x14ac:dyDescent="0.2">
      <c r="B368" s="221"/>
      <c r="C368" s="221"/>
      <c r="D368" s="221"/>
      <c r="E368" s="221"/>
    </row>
    <row r="369" spans="2:5" x14ac:dyDescent="0.2">
      <c r="B369" s="221"/>
      <c r="C369" s="221"/>
      <c r="D369" s="221"/>
      <c r="E369" s="221"/>
    </row>
    <row r="370" spans="2:5" x14ac:dyDescent="0.2">
      <c r="B370" s="221"/>
      <c r="C370" s="221"/>
      <c r="D370" s="221"/>
      <c r="E370" s="221"/>
    </row>
    <row r="371" spans="2:5" x14ac:dyDescent="0.2">
      <c r="B371" s="221"/>
      <c r="C371" s="221"/>
      <c r="D371" s="221"/>
      <c r="E371" s="221"/>
    </row>
    <row r="372" spans="2:5" x14ac:dyDescent="0.2">
      <c r="B372" s="221"/>
      <c r="C372" s="221"/>
      <c r="D372" s="221"/>
      <c r="E372" s="221"/>
    </row>
    <row r="373" spans="2:5" x14ac:dyDescent="0.2">
      <c r="B373" s="221"/>
      <c r="C373" s="221"/>
      <c r="D373" s="221"/>
      <c r="E373" s="221"/>
    </row>
    <row r="374" spans="2:5" x14ac:dyDescent="0.2">
      <c r="B374" s="221"/>
      <c r="C374" s="221"/>
      <c r="D374" s="221"/>
      <c r="E374" s="221"/>
    </row>
    <row r="375" spans="2:5" x14ac:dyDescent="0.2">
      <c r="B375" s="221"/>
      <c r="C375" s="221"/>
      <c r="D375" s="221"/>
      <c r="E375" s="221"/>
    </row>
    <row r="376" spans="2:5" x14ac:dyDescent="0.2">
      <c r="B376" s="221"/>
      <c r="C376" s="221"/>
      <c r="D376" s="221"/>
      <c r="E376" s="221"/>
    </row>
    <row r="377" spans="2:5" x14ac:dyDescent="0.2">
      <c r="B377" s="221"/>
      <c r="C377" s="221"/>
      <c r="D377" s="221"/>
      <c r="E377" s="221"/>
    </row>
    <row r="378" spans="2:5" x14ac:dyDescent="0.2">
      <c r="B378" s="221"/>
      <c r="C378" s="221"/>
      <c r="D378" s="221"/>
      <c r="E378" s="221"/>
    </row>
    <row r="379" spans="2:5" x14ac:dyDescent="0.2">
      <c r="B379" s="221"/>
      <c r="C379" s="221"/>
      <c r="D379" s="221"/>
      <c r="E379" s="221"/>
    </row>
    <row r="380" spans="2:5" x14ac:dyDescent="0.2">
      <c r="B380" s="221"/>
      <c r="C380" s="221"/>
      <c r="D380" s="221"/>
      <c r="E380" s="221"/>
    </row>
    <row r="381" spans="2:5" x14ac:dyDescent="0.2">
      <c r="B381" s="221"/>
      <c r="C381" s="221"/>
      <c r="D381" s="221"/>
      <c r="E381" s="221"/>
    </row>
    <row r="382" spans="2:5" x14ac:dyDescent="0.2">
      <c r="B382" s="221"/>
      <c r="C382" s="221"/>
      <c r="D382" s="221"/>
      <c r="E382" s="221"/>
    </row>
    <row r="383" spans="2:5" x14ac:dyDescent="0.2">
      <c r="B383" s="221"/>
      <c r="C383" s="221"/>
      <c r="D383" s="221"/>
      <c r="E383" s="221"/>
    </row>
    <row r="384" spans="2:5" x14ac:dyDescent="0.2">
      <c r="B384" s="221"/>
      <c r="C384" s="221"/>
      <c r="D384" s="221"/>
      <c r="E384" s="221"/>
    </row>
    <row r="385" spans="2:5" x14ac:dyDescent="0.2">
      <c r="B385" s="221"/>
      <c r="C385" s="221"/>
      <c r="D385" s="221"/>
      <c r="E385" s="221"/>
    </row>
    <row r="386" spans="2:5" x14ac:dyDescent="0.2">
      <c r="B386" s="221"/>
      <c r="C386" s="221"/>
      <c r="D386" s="221"/>
      <c r="E386" s="221"/>
    </row>
    <row r="387" spans="2:5" x14ac:dyDescent="0.2">
      <c r="B387" s="221"/>
      <c r="C387" s="221"/>
      <c r="D387" s="221"/>
      <c r="E387" s="221"/>
    </row>
    <row r="388" spans="2:5" x14ac:dyDescent="0.2">
      <c r="B388" s="221"/>
      <c r="C388" s="221"/>
      <c r="D388" s="221"/>
      <c r="E388" s="221"/>
    </row>
    <row r="389" spans="2:5" x14ac:dyDescent="0.2">
      <c r="B389" s="221"/>
      <c r="C389" s="221"/>
      <c r="D389" s="221"/>
      <c r="E389" s="221"/>
    </row>
    <row r="390" spans="2:5" x14ac:dyDescent="0.2">
      <c r="B390" s="221"/>
      <c r="C390" s="221"/>
      <c r="D390" s="221"/>
      <c r="E390" s="221"/>
    </row>
    <row r="391" spans="2:5" x14ac:dyDescent="0.2">
      <c r="B391" s="221"/>
      <c r="C391" s="221"/>
      <c r="D391" s="221"/>
      <c r="E391" s="221"/>
    </row>
    <row r="392" spans="2:5" x14ac:dyDescent="0.2">
      <c r="B392" s="221"/>
      <c r="C392" s="221"/>
      <c r="D392" s="221"/>
      <c r="E392" s="221"/>
    </row>
    <row r="393" spans="2:5" x14ac:dyDescent="0.2">
      <c r="B393" s="221"/>
      <c r="C393" s="221"/>
      <c r="D393" s="221"/>
      <c r="E393" s="221"/>
    </row>
    <row r="394" spans="2:5" x14ac:dyDescent="0.2">
      <c r="B394" s="221"/>
      <c r="C394" s="221"/>
      <c r="D394" s="221"/>
      <c r="E394" s="221"/>
    </row>
    <row r="395" spans="2:5" x14ac:dyDescent="0.2">
      <c r="B395" s="221"/>
      <c r="C395" s="221"/>
      <c r="D395" s="221"/>
      <c r="E395" s="221"/>
    </row>
    <row r="396" spans="2:5" x14ac:dyDescent="0.2">
      <c r="B396" s="221"/>
      <c r="C396" s="221"/>
      <c r="D396" s="221"/>
      <c r="E396" s="221"/>
    </row>
    <row r="397" spans="2:5" x14ac:dyDescent="0.2">
      <c r="B397" s="221"/>
      <c r="C397" s="221"/>
      <c r="D397" s="221"/>
      <c r="E397" s="221"/>
    </row>
    <row r="398" spans="2:5" x14ac:dyDescent="0.2">
      <c r="B398" s="221"/>
      <c r="C398" s="221"/>
      <c r="D398" s="221"/>
      <c r="E398" s="221"/>
    </row>
    <row r="399" spans="2:5" x14ac:dyDescent="0.2">
      <c r="B399" s="221"/>
      <c r="C399" s="221"/>
      <c r="D399" s="221"/>
      <c r="E399" s="221"/>
    </row>
    <row r="400" spans="2:5" x14ac:dyDescent="0.2">
      <c r="B400" s="221"/>
      <c r="C400" s="221"/>
      <c r="D400" s="221"/>
      <c r="E400" s="221"/>
    </row>
    <row r="401" spans="2:5" x14ac:dyDescent="0.2">
      <c r="B401" s="221"/>
      <c r="C401" s="221"/>
      <c r="D401" s="221"/>
      <c r="E401" s="221"/>
    </row>
    <row r="402" spans="2:5" x14ac:dyDescent="0.2">
      <c r="B402" s="221"/>
      <c r="C402" s="221"/>
      <c r="D402" s="221"/>
      <c r="E402" s="221"/>
    </row>
    <row r="403" spans="2:5" x14ac:dyDescent="0.2">
      <c r="B403" s="221"/>
      <c r="C403" s="221"/>
      <c r="D403" s="221"/>
      <c r="E403" s="221"/>
    </row>
    <row r="404" spans="2:5" x14ac:dyDescent="0.2">
      <c r="B404" s="221"/>
      <c r="C404" s="221"/>
      <c r="D404" s="221"/>
      <c r="E404" s="221"/>
    </row>
    <row r="405" spans="2:5" x14ac:dyDescent="0.2">
      <c r="B405" s="221"/>
      <c r="C405" s="221"/>
      <c r="D405" s="221"/>
      <c r="E405" s="221"/>
    </row>
    <row r="406" spans="2:5" x14ac:dyDescent="0.2">
      <c r="B406" s="221"/>
      <c r="C406" s="221"/>
      <c r="D406" s="221"/>
      <c r="E406" s="221"/>
    </row>
    <row r="407" spans="2:5" x14ac:dyDescent="0.2">
      <c r="B407" s="221"/>
      <c r="C407" s="221"/>
      <c r="D407" s="221"/>
      <c r="E407" s="221"/>
    </row>
    <row r="408" spans="2:5" x14ac:dyDescent="0.2">
      <c r="B408" s="221"/>
      <c r="C408" s="221"/>
      <c r="D408" s="221"/>
      <c r="E408" s="221"/>
    </row>
    <row r="409" spans="2:5" x14ac:dyDescent="0.2">
      <c r="B409" s="221"/>
      <c r="C409" s="221"/>
      <c r="D409" s="221"/>
      <c r="E409" s="221"/>
    </row>
    <row r="410" spans="2:5" x14ac:dyDescent="0.2">
      <c r="B410" s="221"/>
      <c r="C410" s="221"/>
      <c r="D410" s="221"/>
      <c r="E410" s="221"/>
    </row>
    <row r="411" spans="2:5" x14ac:dyDescent="0.2">
      <c r="B411" s="221"/>
      <c r="C411" s="221"/>
      <c r="D411" s="221"/>
      <c r="E411" s="221"/>
    </row>
    <row r="412" spans="2:5" x14ac:dyDescent="0.2">
      <c r="B412" s="221"/>
      <c r="C412" s="221"/>
      <c r="D412" s="221"/>
      <c r="E412" s="221"/>
    </row>
    <row r="413" spans="2:5" x14ac:dyDescent="0.2">
      <c r="B413" s="221"/>
      <c r="C413" s="221"/>
      <c r="D413" s="221"/>
      <c r="E413" s="221"/>
    </row>
    <row r="414" spans="2:5" x14ac:dyDescent="0.2">
      <c r="B414" s="221"/>
      <c r="C414" s="221"/>
      <c r="D414" s="221"/>
      <c r="E414" s="221"/>
    </row>
    <row r="415" spans="2:5" x14ac:dyDescent="0.2">
      <c r="B415" s="221"/>
      <c r="C415" s="221"/>
      <c r="D415" s="221"/>
      <c r="E415" s="221"/>
    </row>
    <row r="416" spans="2:5" x14ac:dyDescent="0.2">
      <c r="B416" s="221"/>
      <c r="C416" s="221"/>
      <c r="D416" s="221"/>
      <c r="E416" s="221"/>
    </row>
    <row r="417" spans="2:5" x14ac:dyDescent="0.2">
      <c r="B417" s="221"/>
      <c r="C417" s="221"/>
      <c r="D417" s="221"/>
      <c r="E417" s="221"/>
    </row>
    <row r="418" spans="2:5" x14ac:dyDescent="0.2">
      <c r="B418" s="221"/>
      <c r="C418" s="221"/>
      <c r="D418" s="221"/>
      <c r="E418" s="221"/>
    </row>
    <row r="419" spans="2:5" x14ac:dyDescent="0.2">
      <c r="B419" s="221"/>
      <c r="C419" s="221"/>
      <c r="D419" s="221"/>
      <c r="E419" s="221"/>
    </row>
    <row r="420" spans="2:5" x14ac:dyDescent="0.2">
      <c r="B420" s="221"/>
      <c r="C420" s="221"/>
      <c r="D420" s="221"/>
      <c r="E420" s="221"/>
    </row>
    <row r="421" spans="2:5" x14ac:dyDescent="0.2">
      <c r="B421" s="221"/>
      <c r="C421" s="221"/>
      <c r="D421" s="221"/>
      <c r="E421" s="221"/>
    </row>
    <row r="422" spans="2:5" x14ac:dyDescent="0.2">
      <c r="B422" s="221"/>
      <c r="C422" s="221"/>
      <c r="D422" s="221"/>
      <c r="E422" s="221"/>
    </row>
    <row r="423" spans="2:5" x14ac:dyDescent="0.2">
      <c r="B423" s="221"/>
      <c r="C423" s="221"/>
      <c r="D423" s="221"/>
      <c r="E423" s="221"/>
    </row>
    <row r="424" spans="2:5" x14ac:dyDescent="0.2">
      <c r="B424" s="221"/>
      <c r="C424" s="221"/>
      <c r="D424" s="221"/>
      <c r="E424" s="221"/>
    </row>
    <row r="425" spans="2:5" x14ac:dyDescent="0.2">
      <c r="B425" s="221"/>
      <c r="C425" s="221"/>
      <c r="D425" s="221"/>
      <c r="E425" s="221"/>
    </row>
    <row r="426" spans="2:5" x14ac:dyDescent="0.2">
      <c r="B426" s="221"/>
      <c r="C426" s="221"/>
      <c r="D426" s="221"/>
      <c r="E426" s="221"/>
    </row>
    <row r="427" spans="2:5" x14ac:dyDescent="0.2">
      <c r="B427" s="221"/>
      <c r="C427" s="221"/>
      <c r="D427" s="221"/>
      <c r="E427" s="221"/>
    </row>
    <row r="428" spans="2:5" x14ac:dyDescent="0.2">
      <c r="B428" s="221"/>
      <c r="C428" s="221"/>
      <c r="D428" s="221"/>
      <c r="E428" s="221"/>
    </row>
    <row r="429" spans="2:5" x14ac:dyDescent="0.2">
      <c r="B429" s="221"/>
      <c r="C429" s="221"/>
      <c r="D429" s="221"/>
      <c r="E429" s="221"/>
    </row>
    <row r="430" spans="2:5" x14ac:dyDescent="0.2">
      <c r="B430" s="221"/>
      <c r="C430" s="221"/>
      <c r="D430" s="221"/>
      <c r="E430" s="221"/>
    </row>
    <row r="431" spans="2:5" x14ac:dyDescent="0.2">
      <c r="B431" s="221"/>
      <c r="C431" s="221"/>
      <c r="D431" s="221"/>
      <c r="E431" s="221"/>
    </row>
    <row r="432" spans="2:5" x14ac:dyDescent="0.2">
      <c r="B432" s="221"/>
      <c r="C432" s="221"/>
      <c r="D432" s="221"/>
      <c r="E432" s="221"/>
    </row>
    <row r="433" spans="2:5" x14ac:dyDescent="0.2">
      <c r="B433" s="221"/>
      <c r="C433" s="221"/>
      <c r="D433" s="221"/>
      <c r="E433" s="221"/>
    </row>
    <row r="434" spans="2:5" x14ac:dyDescent="0.2">
      <c r="B434" s="221"/>
      <c r="C434" s="221"/>
      <c r="D434" s="221"/>
      <c r="E434" s="221"/>
    </row>
    <row r="435" spans="2:5" x14ac:dyDescent="0.2">
      <c r="B435" s="221"/>
      <c r="C435" s="221"/>
      <c r="D435" s="221"/>
      <c r="E435" s="221"/>
    </row>
    <row r="436" spans="2:5" x14ac:dyDescent="0.2">
      <c r="B436" s="221"/>
      <c r="C436" s="221"/>
      <c r="D436" s="221"/>
      <c r="E436" s="221"/>
    </row>
    <row r="437" spans="2:5" x14ac:dyDescent="0.2">
      <c r="B437" s="221"/>
      <c r="C437" s="221"/>
      <c r="D437" s="221"/>
      <c r="E437" s="221"/>
    </row>
    <row r="438" spans="2:5" x14ac:dyDescent="0.2">
      <c r="B438" s="221"/>
      <c r="C438" s="221"/>
      <c r="D438" s="221"/>
      <c r="E438" s="221"/>
    </row>
    <row r="439" spans="2:5" x14ac:dyDescent="0.2">
      <c r="B439" s="221"/>
      <c r="C439" s="221"/>
      <c r="D439" s="221"/>
      <c r="E439" s="221"/>
    </row>
    <row r="440" spans="2:5" x14ac:dyDescent="0.2">
      <c r="B440" s="221"/>
      <c r="C440" s="221"/>
      <c r="D440" s="221"/>
      <c r="E440" s="221"/>
    </row>
    <row r="441" spans="2:5" x14ac:dyDescent="0.2">
      <c r="B441" s="221"/>
      <c r="C441" s="221"/>
      <c r="D441" s="221"/>
      <c r="E441" s="221"/>
    </row>
    <row r="442" spans="2:5" x14ac:dyDescent="0.2">
      <c r="B442" s="221"/>
      <c r="C442" s="221"/>
      <c r="D442" s="221"/>
      <c r="E442" s="221"/>
    </row>
    <row r="443" spans="2:5" x14ac:dyDescent="0.2">
      <c r="B443" s="221"/>
      <c r="C443" s="221"/>
      <c r="D443" s="221"/>
      <c r="E443" s="221"/>
    </row>
    <row r="444" spans="2:5" x14ac:dyDescent="0.2">
      <c r="B444" s="221"/>
      <c r="C444" s="221"/>
      <c r="D444" s="221"/>
      <c r="E444" s="221"/>
    </row>
    <row r="445" spans="2:5" x14ac:dyDescent="0.2">
      <c r="B445" s="221"/>
      <c r="C445" s="221"/>
      <c r="D445" s="221"/>
      <c r="E445" s="221"/>
    </row>
    <row r="446" spans="2:5" x14ac:dyDescent="0.2">
      <c r="B446" s="221"/>
      <c r="C446" s="221"/>
      <c r="D446" s="221"/>
      <c r="E446" s="221"/>
    </row>
    <row r="447" spans="2:5" x14ac:dyDescent="0.2">
      <c r="B447" s="221"/>
      <c r="C447" s="221"/>
      <c r="D447" s="221"/>
      <c r="E447" s="221"/>
    </row>
    <row r="448" spans="2:5" x14ac:dyDescent="0.2">
      <c r="B448" s="221"/>
      <c r="C448" s="221"/>
      <c r="D448" s="221"/>
      <c r="E448" s="221"/>
    </row>
    <row r="449" spans="2:5" x14ac:dyDescent="0.2">
      <c r="B449" s="221"/>
      <c r="C449" s="221"/>
      <c r="D449" s="221"/>
      <c r="E449" s="221"/>
    </row>
    <row r="450" spans="2:5" x14ac:dyDescent="0.2">
      <c r="B450" s="221"/>
      <c r="C450" s="221"/>
      <c r="D450" s="221"/>
      <c r="E450" s="221"/>
    </row>
    <row r="451" spans="2:5" x14ac:dyDescent="0.2">
      <c r="B451" s="221"/>
      <c r="C451" s="221"/>
      <c r="D451" s="221"/>
      <c r="E451" s="221"/>
    </row>
    <row r="452" spans="2:5" x14ac:dyDescent="0.2">
      <c r="B452" s="221"/>
      <c r="C452" s="221"/>
      <c r="D452" s="221"/>
      <c r="E452" s="221"/>
    </row>
    <row r="453" spans="2:5" x14ac:dyDescent="0.2">
      <c r="B453" s="221"/>
      <c r="C453" s="221"/>
      <c r="D453" s="221"/>
      <c r="E453" s="221"/>
    </row>
    <row r="454" spans="2:5" x14ac:dyDescent="0.2">
      <c r="B454" s="221"/>
      <c r="C454" s="221"/>
      <c r="D454" s="221"/>
      <c r="E454" s="221"/>
    </row>
    <row r="455" spans="2:5" x14ac:dyDescent="0.2">
      <c r="B455" s="221"/>
      <c r="C455" s="221"/>
      <c r="D455" s="221"/>
      <c r="E455" s="221"/>
    </row>
    <row r="456" spans="2:5" x14ac:dyDescent="0.2">
      <c r="B456" s="221"/>
      <c r="C456" s="221"/>
      <c r="D456" s="221"/>
      <c r="E456" s="221"/>
    </row>
    <row r="457" spans="2:5" x14ac:dyDescent="0.2">
      <c r="B457" s="221"/>
      <c r="C457" s="221"/>
      <c r="D457" s="221"/>
      <c r="E457" s="221"/>
    </row>
    <row r="458" spans="2:5" x14ac:dyDescent="0.2">
      <c r="B458" s="221"/>
      <c r="C458" s="221"/>
      <c r="D458" s="221"/>
      <c r="E458" s="221"/>
    </row>
    <row r="459" spans="2:5" x14ac:dyDescent="0.2">
      <c r="B459" s="221"/>
      <c r="C459" s="221"/>
      <c r="D459" s="221"/>
      <c r="E459" s="221"/>
    </row>
    <row r="460" spans="2:5" x14ac:dyDescent="0.2">
      <c r="B460" s="221"/>
      <c r="C460" s="221"/>
      <c r="D460" s="221"/>
      <c r="E460" s="221"/>
    </row>
    <row r="461" spans="2:5" x14ac:dyDescent="0.2">
      <c r="B461" s="221"/>
      <c r="C461" s="221"/>
      <c r="D461" s="221"/>
      <c r="E461" s="221"/>
    </row>
    <row r="462" spans="2:5" x14ac:dyDescent="0.2">
      <c r="B462" s="221"/>
      <c r="C462" s="221"/>
      <c r="D462" s="221"/>
      <c r="E462" s="221"/>
    </row>
    <row r="463" spans="2:5" x14ac:dyDescent="0.2">
      <c r="B463" s="221"/>
      <c r="C463" s="221"/>
      <c r="D463" s="221"/>
      <c r="E463" s="221"/>
    </row>
    <row r="464" spans="2:5" x14ac:dyDescent="0.2">
      <c r="B464" s="221"/>
      <c r="C464" s="221"/>
      <c r="D464" s="221"/>
      <c r="E464" s="221"/>
    </row>
    <row r="465" spans="2:5" x14ac:dyDescent="0.2">
      <c r="B465" s="221"/>
      <c r="C465" s="221"/>
      <c r="D465" s="221"/>
      <c r="E465" s="221"/>
    </row>
    <row r="466" spans="2:5" x14ac:dyDescent="0.2">
      <c r="B466" s="221"/>
      <c r="C466" s="221"/>
      <c r="D466" s="221"/>
      <c r="E466" s="221"/>
    </row>
    <row r="467" spans="2:5" x14ac:dyDescent="0.2">
      <c r="B467" s="221"/>
      <c r="C467" s="221"/>
      <c r="D467" s="221"/>
      <c r="E467" s="221"/>
    </row>
    <row r="468" spans="2:5" x14ac:dyDescent="0.2">
      <c r="B468" s="221"/>
      <c r="C468" s="221"/>
      <c r="D468" s="221"/>
      <c r="E468" s="221"/>
    </row>
    <row r="469" spans="2:5" x14ac:dyDescent="0.2">
      <c r="B469" s="221"/>
      <c r="C469" s="221"/>
      <c r="D469" s="221"/>
      <c r="E469" s="221"/>
    </row>
    <row r="470" spans="2:5" x14ac:dyDescent="0.2">
      <c r="B470" s="221"/>
      <c r="C470" s="221"/>
      <c r="D470" s="221"/>
      <c r="E470" s="221"/>
    </row>
    <row r="471" spans="2:5" x14ac:dyDescent="0.2">
      <c r="B471" s="221"/>
      <c r="C471" s="221"/>
      <c r="D471" s="221"/>
      <c r="E471" s="221"/>
    </row>
    <row r="472" spans="2:5" x14ac:dyDescent="0.2">
      <c r="B472" s="221"/>
      <c r="C472" s="221"/>
      <c r="D472" s="221"/>
      <c r="E472" s="221"/>
    </row>
    <row r="473" spans="2:5" x14ac:dyDescent="0.2">
      <c r="B473" s="221"/>
      <c r="C473" s="221"/>
      <c r="D473" s="221"/>
      <c r="E473" s="221"/>
    </row>
    <row r="474" spans="2:5" x14ac:dyDescent="0.2">
      <c r="B474" s="221"/>
      <c r="C474" s="221"/>
      <c r="D474" s="221"/>
      <c r="E474" s="221"/>
    </row>
    <row r="475" spans="2:5" x14ac:dyDescent="0.2">
      <c r="B475" s="221"/>
      <c r="C475" s="221"/>
      <c r="D475" s="221"/>
      <c r="E475" s="221"/>
    </row>
    <row r="476" spans="2:5" x14ac:dyDescent="0.2">
      <c r="B476" s="221"/>
      <c r="C476" s="221"/>
      <c r="D476" s="221"/>
      <c r="E476" s="221"/>
    </row>
    <row r="477" spans="2:5" x14ac:dyDescent="0.2">
      <c r="B477" s="221"/>
      <c r="C477" s="221"/>
      <c r="D477" s="221"/>
      <c r="E477" s="221"/>
    </row>
    <row r="478" spans="2:5" x14ac:dyDescent="0.2">
      <c r="B478" s="221"/>
      <c r="C478" s="221"/>
      <c r="D478" s="221"/>
      <c r="E478" s="221"/>
    </row>
    <row r="479" spans="2:5" x14ac:dyDescent="0.2">
      <c r="B479" s="221"/>
      <c r="C479" s="221"/>
      <c r="D479" s="221"/>
      <c r="E479" s="221"/>
    </row>
    <row r="480" spans="2:5" x14ac:dyDescent="0.2">
      <c r="B480" s="221"/>
      <c r="C480" s="221"/>
      <c r="D480" s="221"/>
      <c r="E480" s="221"/>
    </row>
    <row r="481" spans="2:5" x14ac:dyDescent="0.2">
      <c r="B481" s="221"/>
      <c r="C481" s="221"/>
      <c r="D481" s="221"/>
      <c r="E481" s="221"/>
    </row>
    <row r="482" spans="2:5" x14ac:dyDescent="0.2">
      <c r="B482" s="221"/>
      <c r="C482" s="221"/>
      <c r="D482" s="221"/>
      <c r="E482" s="221"/>
    </row>
    <row r="483" spans="2:5" x14ac:dyDescent="0.2">
      <c r="B483" s="221"/>
      <c r="C483" s="221"/>
      <c r="D483" s="221"/>
      <c r="E483" s="221"/>
    </row>
    <row r="484" spans="2:5" x14ac:dyDescent="0.2">
      <c r="B484" s="221"/>
      <c r="C484" s="221"/>
      <c r="D484" s="221"/>
      <c r="E484" s="221"/>
    </row>
    <row r="485" spans="2:5" x14ac:dyDescent="0.2">
      <c r="B485" s="221"/>
      <c r="C485" s="221"/>
      <c r="D485" s="221"/>
      <c r="E485" s="221"/>
    </row>
    <row r="486" spans="2:5" x14ac:dyDescent="0.2">
      <c r="B486" s="221"/>
      <c r="C486" s="221"/>
      <c r="D486" s="221"/>
      <c r="E486" s="221"/>
    </row>
    <row r="487" spans="2:5" x14ac:dyDescent="0.2">
      <c r="B487" s="221"/>
      <c r="C487" s="221"/>
      <c r="D487" s="221"/>
      <c r="E487" s="221"/>
    </row>
    <row r="488" spans="2:5" x14ac:dyDescent="0.2">
      <c r="B488" s="221"/>
      <c r="C488" s="221"/>
      <c r="D488" s="221"/>
      <c r="E488" s="221"/>
    </row>
    <row r="489" spans="2:5" x14ac:dyDescent="0.2">
      <c r="B489" s="221"/>
      <c r="C489" s="221"/>
      <c r="D489" s="221"/>
      <c r="E489" s="221"/>
    </row>
    <row r="490" spans="2:5" x14ac:dyDescent="0.2">
      <c r="B490" s="221"/>
      <c r="C490" s="221"/>
      <c r="D490" s="221"/>
      <c r="E490" s="221"/>
    </row>
    <row r="491" spans="2:5" x14ac:dyDescent="0.2">
      <c r="B491" s="221"/>
      <c r="C491" s="221"/>
      <c r="D491" s="221"/>
      <c r="E491" s="221"/>
    </row>
    <row r="492" spans="2:5" x14ac:dyDescent="0.2">
      <c r="B492" s="221"/>
      <c r="C492" s="221"/>
      <c r="D492" s="221"/>
      <c r="E492" s="221"/>
    </row>
    <row r="493" spans="2:5" x14ac:dyDescent="0.2">
      <c r="B493" s="221"/>
      <c r="C493" s="221"/>
      <c r="D493" s="221"/>
      <c r="E493" s="221"/>
    </row>
    <row r="494" spans="2:5" x14ac:dyDescent="0.2">
      <c r="B494" s="221"/>
      <c r="C494" s="221"/>
      <c r="D494" s="221"/>
      <c r="E494" s="221"/>
    </row>
    <row r="495" spans="2:5" x14ac:dyDescent="0.2">
      <c r="B495" s="221"/>
      <c r="C495" s="221"/>
      <c r="D495" s="221"/>
      <c r="E495" s="221"/>
    </row>
    <row r="496" spans="2:5" x14ac:dyDescent="0.2">
      <c r="B496" s="221"/>
      <c r="C496" s="221"/>
      <c r="D496" s="221"/>
      <c r="E496" s="221"/>
    </row>
    <row r="497" spans="2:5" x14ac:dyDescent="0.2">
      <c r="B497" s="221"/>
      <c r="C497" s="221"/>
      <c r="D497" s="221"/>
      <c r="E497" s="221"/>
    </row>
    <row r="498" spans="2:5" x14ac:dyDescent="0.2">
      <c r="B498" s="221"/>
      <c r="C498" s="221"/>
      <c r="D498" s="221"/>
      <c r="E498" s="221"/>
    </row>
    <row r="499" spans="2:5" x14ac:dyDescent="0.2">
      <c r="B499" s="221"/>
      <c r="C499" s="221"/>
      <c r="D499" s="221"/>
      <c r="E499" s="221"/>
    </row>
    <row r="500" spans="2:5" x14ac:dyDescent="0.2">
      <c r="B500" s="221"/>
      <c r="C500" s="221"/>
      <c r="D500" s="221"/>
      <c r="E500" s="221"/>
    </row>
    <row r="501" spans="2:5" x14ac:dyDescent="0.2">
      <c r="B501" s="221"/>
      <c r="C501" s="221"/>
      <c r="D501" s="221"/>
      <c r="E501" s="221"/>
    </row>
    <row r="502" spans="2:5" x14ac:dyDescent="0.2">
      <c r="B502" s="221"/>
      <c r="C502" s="221"/>
      <c r="D502" s="221"/>
      <c r="E502" s="221"/>
    </row>
    <row r="503" spans="2:5" x14ac:dyDescent="0.2">
      <c r="B503" s="221"/>
      <c r="C503" s="221"/>
      <c r="D503" s="221"/>
      <c r="E503" s="221"/>
    </row>
    <row r="504" spans="2:5" x14ac:dyDescent="0.2">
      <c r="B504" s="221"/>
      <c r="C504" s="221"/>
      <c r="D504" s="221"/>
      <c r="E504" s="221"/>
    </row>
    <row r="505" spans="2:5" x14ac:dyDescent="0.2">
      <c r="B505" s="221"/>
      <c r="C505" s="221"/>
      <c r="D505" s="221"/>
      <c r="E505" s="221"/>
    </row>
    <row r="506" spans="2:5" x14ac:dyDescent="0.2">
      <c r="B506" s="221"/>
      <c r="C506" s="221"/>
      <c r="D506" s="221"/>
      <c r="E506" s="221"/>
    </row>
    <row r="507" spans="2:5" x14ac:dyDescent="0.2">
      <c r="B507" s="221"/>
      <c r="C507" s="221"/>
      <c r="D507" s="221"/>
      <c r="E507" s="221"/>
    </row>
    <row r="508" spans="2:5" x14ac:dyDescent="0.2">
      <c r="B508" s="221"/>
      <c r="C508" s="221"/>
      <c r="D508" s="221"/>
      <c r="E508" s="221"/>
    </row>
    <row r="509" spans="2:5" x14ac:dyDescent="0.2">
      <c r="B509" s="221"/>
      <c r="C509" s="221"/>
      <c r="D509" s="221"/>
      <c r="E509" s="221"/>
    </row>
    <row r="510" spans="2:5" x14ac:dyDescent="0.2">
      <c r="B510" s="221"/>
      <c r="C510" s="221"/>
      <c r="D510" s="221"/>
      <c r="E510" s="221"/>
    </row>
    <row r="511" spans="2:5" x14ac:dyDescent="0.2">
      <c r="B511" s="221"/>
      <c r="C511" s="221"/>
      <c r="D511" s="221"/>
      <c r="E511" s="221"/>
    </row>
    <row r="512" spans="2:5" x14ac:dyDescent="0.2">
      <c r="B512" s="221"/>
      <c r="C512" s="221"/>
      <c r="D512" s="221"/>
      <c r="E512" s="221"/>
    </row>
    <row r="513" spans="2:5" x14ac:dyDescent="0.2">
      <c r="B513" s="221"/>
      <c r="C513" s="221"/>
      <c r="D513" s="221"/>
      <c r="E513" s="221"/>
    </row>
    <row r="514" spans="2:5" x14ac:dyDescent="0.2">
      <c r="B514" s="221"/>
      <c r="C514" s="221"/>
      <c r="D514" s="221"/>
      <c r="E514" s="221"/>
    </row>
    <row r="515" spans="2:5" x14ac:dyDescent="0.2">
      <c r="B515" s="221"/>
      <c r="C515" s="221"/>
      <c r="D515" s="221"/>
      <c r="E515" s="221"/>
    </row>
    <row r="516" spans="2:5" x14ac:dyDescent="0.2">
      <c r="B516" s="221"/>
      <c r="C516" s="221"/>
      <c r="D516" s="221"/>
      <c r="E516" s="221"/>
    </row>
    <row r="517" spans="2:5" x14ac:dyDescent="0.2">
      <c r="B517" s="221"/>
      <c r="C517" s="221"/>
      <c r="D517" s="221"/>
      <c r="E517" s="221"/>
    </row>
    <row r="518" spans="2:5" x14ac:dyDescent="0.2">
      <c r="B518" s="221"/>
      <c r="C518" s="221"/>
      <c r="D518" s="221"/>
      <c r="E518" s="221"/>
    </row>
    <row r="519" spans="2:5" x14ac:dyDescent="0.2">
      <c r="B519" s="221"/>
      <c r="C519" s="221"/>
      <c r="D519" s="221"/>
      <c r="E519" s="221"/>
    </row>
    <row r="520" spans="2:5" x14ac:dyDescent="0.2">
      <c r="B520" s="221"/>
      <c r="C520" s="221"/>
      <c r="D520" s="221"/>
      <c r="E520" s="221"/>
    </row>
    <row r="521" spans="2:5" x14ac:dyDescent="0.2">
      <c r="B521" s="221"/>
      <c r="C521" s="221"/>
      <c r="D521" s="221"/>
      <c r="E521" s="221"/>
    </row>
    <row r="522" spans="2:5" x14ac:dyDescent="0.2">
      <c r="B522" s="221"/>
      <c r="C522" s="221"/>
      <c r="D522" s="221"/>
      <c r="E522" s="221"/>
    </row>
    <row r="523" spans="2:5" x14ac:dyDescent="0.2">
      <c r="B523" s="221"/>
      <c r="C523" s="221"/>
      <c r="D523" s="221"/>
      <c r="E523" s="221"/>
    </row>
    <row r="524" spans="2:5" x14ac:dyDescent="0.2">
      <c r="B524" s="221"/>
      <c r="C524" s="221"/>
      <c r="D524" s="221"/>
      <c r="E524" s="221"/>
    </row>
    <row r="525" spans="2:5" x14ac:dyDescent="0.2">
      <c r="B525" s="221"/>
      <c r="C525" s="221"/>
      <c r="D525" s="221"/>
      <c r="E525" s="221"/>
    </row>
    <row r="526" spans="2:5" x14ac:dyDescent="0.2">
      <c r="B526" s="221"/>
      <c r="C526" s="221"/>
      <c r="D526" s="221"/>
      <c r="E526" s="221"/>
    </row>
    <row r="527" spans="2:5" x14ac:dyDescent="0.2">
      <c r="B527" s="221"/>
      <c r="C527" s="221"/>
      <c r="D527" s="221"/>
      <c r="E527" s="221"/>
    </row>
    <row r="528" spans="2:5" x14ac:dyDescent="0.2">
      <c r="B528" s="221"/>
      <c r="C528" s="221"/>
      <c r="D528" s="221"/>
      <c r="E528" s="221"/>
    </row>
    <row r="529" spans="2:5" x14ac:dyDescent="0.2">
      <c r="B529" s="221"/>
      <c r="C529" s="221"/>
      <c r="D529" s="221"/>
      <c r="E529" s="221"/>
    </row>
    <row r="530" spans="2:5" x14ac:dyDescent="0.2">
      <c r="B530" s="221"/>
      <c r="C530" s="221"/>
      <c r="D530" s="221"/>
      <c r="E530" s="221"/>
    </row>
    <row r="531" spans="2:5" x14ac:dyDescent="0.2">
      <c r="B531" s="221"/>
      <c r="C531" s="221"/>
      <c r="D531" s="221"/>
      <c r="E531" s="221"/>
    </row>
    <row r="532" spans="2:5" x14ac:dyDescent="0.2">
      <c r="B532" s="221"/>
      <c r="C532" s="221"/>
      <c r="D532" s="221"/>
      <c r="E532" s="221"/>
    </row>
    <row r="533" spans="2:5" x14ac:dyDescent="0.2">
      <c r="B533" s="221"/>
      <c r="C533" s="221"/>
      <c r="D533" s="221"/>
      <c r="E533" s="221"/>
    </row>
    <row r="534" spans="2:5" x14ac:dyDescent="0.2">
      <c r="B534" s="221"/>
      <c r="C534" s="221"/>
      <c r="D534" s="221"/>
      <c r="E534" s="221"/>
    </row>
    <row r="535" spans="2:5" x14ac:dyDescent="0.2">
      <c r="B535" s="221"/>
      <c r="C535" s="221"/>
      <c r="D535" s="221"/>
      <c r="E535" s="221"/>
    </row>
    <row r="536" spans="2:5" x14ac:dyDescent="0.2">
      <c r="B536" s="221"/>
      <c r="C536" s="221"/>
      <c r="D536" s="221"/>
      <c r="E536" s="221"/>
    </row>
    <row r="537" spans="2:5" x14ac:dyDescent="0.2">
      <c r="B537" s="221"/>
      <c r="C537" s="221"/>
      <c r="D537" s="221"/>
      <c r="E537" s="221"/>
    </row>
    <row r="538" spans="2:5" x14ac:dyDescent="0.2">
      <c r="B538" s="221"/>
      <c r="C538" s="221"/>
      <c r="D538" s="221"/>
      <c r="E538" s="221"/>
    </row>
    <row r="539" spans="2:5" x14ac:dyDescent="0.2">
      <c r="B539" s="221"/>
      <c r="C539" s="221"/>
      <c r="D539" s="221"/>
      <c r="E539" s="221"/>
    </row>
    <row r="540" spans="2:5" x14ac:dyDescent="0.2">
      <c r="B540" s="221"/>
      <c r="C540" s="221"/>
      <c r="D540" s="221"/>
      <c r="E540" s="221"/>
    </row>
    <row r="541" spans="2:5" x14ac:dyDescent="0.2">
      <c r="B541" s="221"/>
      <c r="C541" s="221"/>
      <c r="D541" s="221"/>
      <c r="E541" s="221"/>
    </row>
    <row r="542" spans="2:5" x14ac:dyDescent="0.2">
      <c r="B542" s="221"/>
      <c r="C542" s="221"/>
      <c r="D542" s="221"/>
      <c r="E542" s="221"/>
    </row>
    <row r="543" spans="2:5" x14ac:dyDescent="0.2">
      <c r="B543" s="221"/>
      <c r="C543" s="221"/>
      <c r="D543" s="221"/>
      <c r="E543" s="221"/>
    </row>
    <row r="544" spans="2:5" x14ac:dyDescent="0.2">
      <c r="B544" s="221"/>
      <c r="C544" s="221"/>
      <c r="D544" s="221"/>
      <c r="E544" s="221"/>
    </row>
    <row r="545" spans="2:5" x14ac:dyDescent="0.2">
      <c r="B545" s="221"/>
      <c r="C545" s="221"/>
      <c r="D545" s="221"/>
      <c r="E545" s="221"/>
    </row>
    <row r="546" spans="2:5" x14ac:dyDescent="0.2">
      <c r="B546" s="221"/>
      <c r="C546" s="221"/>
      <c r="D546" s="221"/>
      <c r="E546" s="221"/>
    </row>
    <row r="547" spans="2:5" x14ac:dyDescent="0.2">
      <c r="B547" s="221"/>
      <c r="C547" s="221"/>
      <c r="D547" s="221"/>
      <c r="E547" s="221"/>
    </row>
    <row r="548" spans="2:5" x14ac:dyDescent="0.2">
      <c r="B548" s="221"/>
      <c r="C548" s="221"/>
      <c r="D548" s="221"/>
      <c r="E548" s="221"/>
    </row>
    <row r="549" spans="2:5" x14ac:dyDescent="0.2">
      <c r="B549" s="221"/>
      <c r="C549" s="221"/>
      <c r="D549" s="221"/>
      <c r="E549" s="221"/>
    </row>
    <row r="550" spans="2:5" x14ac:dyDescent="0.2">
      <c r="B550" s="221"/>
      <c r="C550" s="221"/>
      <c r="D550" s="221"/>
      <c r="E550" s="221"/>
    </row>
    <row r="551" spans="2:5" x14ac:dyDescent="0.2">
      <c r="B551" s="221"/>
      <c r="C551" s="221"/>
      <c r="D551" s="221"/>
      <c r="E551" s="221"/>
    </row>
    <row r="552" spans="2:5" x14ac:dyDescent="0.2">
      <c r="B552" s="221"/>
      <c r="C552" s="221"/>
      <c r="D552" s="221"/>
      <c r="E552" s="221"/>
    </row>
    <row r="553" spans="2:5" x14ac:dyDescent="0.2">
      <c r="B553" s="221"/>
      <c r="C553" s="221"/>
      <c r="D553" s="221"/>
      <c r="E553" s="221"/>
    </row>
    <row r="554" spans="2:5" x14ac:dyDescent="0.2">
      <c r="B554" s="221"/>
      <c r="C554" s="221"/>
      <c r="D554" s="221"/>
      <c r="E554" s="221"/>
    </row>
    <row r="555" spans="2:5" x14ac:dyDescent="0.2">
      <c r="B555" s="221"/>
      <c r="C555" s="221"/>
      <c r="D555" s="221"/>
      <c r="E555" s="221"/>
    </row>
    <row r="556" spans="2:5" x14ac:dyDescent="0.2">
      <c r="B556" s="221"/>
      <c r="C556" s="221"/>
      <c r="D556" s="221"/>
      <c r="E556" s="221"/>
    </row>
    <row r="557" spans="2:5" x14ac:dyDescent="0.2">
      <c r="B557" s="221"/>
      <c r="C557" s="221"/>
      <c r="D557" s="221"/>
      <c r="E557" s="221"/>
    </row>
    <row r="558" spans="2:5" x14ac:dyDescent="0.2">
      <c r="B558" s="221"/>
      <c r="C558" s="221"/>
      <c r="D558" s="221"/>
      <c r="E558" s="221"/>
    </row>
    <row r="559" spans="2:5" x14ac:dyDescent="0.2">
      <c r="B559" s="221"/>
      <c r="C559" s="221"/>
      <c r="D559" s="221"/>
      <c r="E559" s="221"/>
    </row>
    <row r="560" spans="2:5" x14ac:dyDescent="0.2">
      <c r="B560" s="221"/>
      <c r="C560" s="221"/>
      <c r="D560" s="221"/>
      <c r="E560" s="221"/>
    </row>
    <row r="561" spans="2:5" x14ac:dyDescent="0.2">
      <c r="B561" s="221"/>
      <c r="C561" s="221"/>
      <c r="D561" s="221"/>
      <c r="E561" s="221"/>
    </row>
    <row r="562" spans="2:5" x14ac:dyDescent="0.2">
      <c r="B562" s="221"/>
      <c r="C562" s="221"/>
      <c r="D562" s="221"/>
      <c r="E562" s="221"/>
    </row>
    <row r="563" spans="2:5" x14ac:dyDescent="0.2">
      <c r="B563" s="221"/>
      <c r="C563" s="221"/>
      <c r="D563" s="221"/>
      <c r="E563" s="221"/>
    </row>
    <row r="564" spans="2:5" x14ac:dyDescent="0.2">
      <c r="B564" s="221"/>
      <c r="C564" s="221"/>
      <c r="D564" s="221"/>
      <c r="E564" s="221"/>
    </row>
    <row r="565" spans="2:5" x14ac:dyDescent="0.2">
      <c r="B565" s="221"/>
      <c r="C565" s="221"/>
      <c r="D565" s="221"/>
      <c r="E565" s="221"/>
    </row>
    <row r="566" spans="2:5" x14ac:dyDescent="0.2">
      <c r="B566" s="221"/>
      <c r="C566" s="221"/>
      <c r="D566" s="221"/>
      <c r="E566" s="221"/>
    </row>
    <row r="567" spans="2:5" x14ac:dyDescent="0.2">
      <c r="B567" s="221"/>
      <c r="C567" s="221"/>
      <c r="D567" s="221"/>
      <c r="E567" s="221"/>
    </row>
    <row r="568" spans="2:5" x14ac:dyDescent="0.2">
      <c r="B568" s="221"/>
      <c r="C568" s="221"/>
      <c r="D568" s="221"/>
      <c r="E568" s="221"/>
    </row>
    <row r="569" spans="2:5" x14ac:dyDescent="0.2">
      <c r="B569" s="221"/>
      <c r="C569" s="221"/>
      <c r="D569" s="221"/>
      <c r="E569" s="221"/>
    </row>
    <row r="570" spans="2:5" x14ac:dyDescent="0.2">
      <c r="B570" s="221"/>
      <c r="C570" s="221"/>
      <c r="D570" s="221"/>
      <c r="E570" s="221"/>
    </row>
    <row r="571" spans="2:5" x14ac:dyDescent="0.2">
      <c r="B571" s="221"/>
      <c r="C571" s="221"/>
      <c r="D571" s="221"/>
      <c r="E571" s="221"/>
    </row>
    <row r="572" spans="2:5" x14ac:dyDescent="0.2">
      <c r="B572" s="221"/>
      <c r="C572" s="221"/>
      <c r="D572" s="221"/>
      <c r="E572" s="221"/>
    </row>
    <row r="573" spans="2:5" x14ac:dyDescent="0.2">
      <c r="B573" s="221"/>
      <c r="C573" s="221"/>
      <c r="D573" s="221"/>
      <c r="E573" s="221"/>
    </row>
    <row r="574" spans="2:5" x14ac:dyDescent="0.2">
      <c r="B574" s="221"/>
      <c r="C574" s="221"/>
      <c r="D574" s="221"/>
      <c r="E574" s="221"/>
    </row>
    <row r="575" spans="2:5" x14ac:dyDescent="0.2">
      <c r="B575" s="221"/>
      <c r="C575" s="221"/>
      <c r="D575" s="221"/>
      <c r="E575" s="221"/>
    </row>
    <row r="576" spans="2:5" x14ac:dyDescent="0.2">
      <c r="B576" s="221"/>
      <c r="C576" s="221"/>
      <c r="D576" s="221"/>
      <c r="E576" s="221"/>
    </row>
    <row r="577" spans="2:5" x14ac:dyDescent="0.2">
      <c r="B577" s="221"/>
      <c r="C577" s="221"/>
      <c r="D577" s="221"/>
      <c r="E577" s="221"/>
    </row>
    <row r="578" spans="2:5" x14ac:dyDescent="0.2">
      <c r="B578" s="221"/>
      <c r="C578" s="221"/>
      <c r="D578" s="221"/>
      <c r="E578" s="221"/>
    </row>
    <row r="579" spans="2:5" x14ac:dyDescent="0.2">
      <c r="B579" s="221"/>
      <c r="C579" s="221"/>
      <c r="D579" s="221"/>
      <c r="E579" s="221"/>
    </row>
    <row r="580" spans="2:5" x14ac:dyDescent="0.2">
      <c r="B580" s="221"/>
      <c r="C580" s="221"/>
      <c r="D580" s="221"/>
      <c r="E580" s="221"/>
    </row>
    <row r="581" spans="2:5" x14ac:dyDescent="0.2">
      <c r="B581" s="221"/>
      <c r="C581" s="221"/>
      <c r="D581" s="221"/>
      <c r="E581" s="221"/>
    </row>
    <row r="582" spans="2:5" x14ac:dyDescent="0.2">
      <c r="B582" s="221"/>
      <c r="C582" s="221"/>
      <c r="D582" s="221"/>
      <c r="E582" s="221"/>
    </row>
    <row r="583" spans="2:5" x14ac:dyDescent="0.2">
      <c r="B583" s="221"/>
      <c r="C583" s="221"/>
      <c r="D583" s="221"/>
      <c r="E583" s="221"/>
    </row>
    <row r="584" spans="2:5" x14ac:dyDescent="0.2">
      <c r="B584" s="221"/>
      <c r="C584" s="221"/>
      <c r="D584" s="221"/>
      <c r="E584" s="221"/>
    </row>
    <row r="585" spans="2:5" x14ac:dyDescent="0.2">
      <c r="B585" s="221"/>
      <c r="C585" s="221"/>
      <c r="D585" s="221"/>
      <c r="E585" s="221"/>
    </row>
    <row r="586" spans="2:5" x14ac:dyDescent="0.2">
      <c r="B586" s="221"/>
      <c r="C586" s="221"/>
      <c r="D586" s="221"/>
      <c r="E586" s="221"/>
    </row>
    <row r="587" spans="2:5" x14ac:dyDescent="0.2">
      <c r="B587" s="221"/>
      <c r="C587" s="221"/>
      <c r="D587" s="221"/>
      <c r="E587" s="221"/>
    </row>
    <row r="588" spans="2:5" x14ac:dyDescent="0.2">
      <c r="B588" s="221"/>
      <c r="C588" s="221"/>
      <c r="D588" s="221"/>
      <c r="E588" s="221"/>
    </row>
    <row r="589" spans="2:5" x14ac:dyDescent="0.2">
      <c r="B589" s="221"/>
      <c r="C589" s="221"/>
      <c r="D589" s="221"/>
      <c r="E589" s="221"/>
    </row>
    <row r="590" spans="2:5" x14ac:dyDescent="0.2">
      <c r="B590" s="221"/>
      <c r="C590" s="221"/>
      <c r="D590" s="221"/>
      <c r="E590" s="221"/>
    </row>
    <row r="591" spans="2:5" x14ac:dyDescent="0.2">
      <c r="B591" s="221"/>
      <c r="C591" s="221"/>
      <c r="D591" s="221"/>
      <c r="E591" s="221"/>
    </row>
    <row r="592" spans="2:5" x14ac:dyDescent="0.2">
      <c r="B592" s="221"/>
      <c r="C592" s="221"/>
      <c r="D592" s="221"/>
      <c r="E592" s="221"/>
    </row>
    <row r="593" spans="2:5" x14ac:dyDescent="0.2">
      <c r="B593" s="221"/>
      <c r="C593" s="221"/>
      <c r="D593" s="221"/>
      <c r="E593" s="221"/>
    </row>
    <row r="594" spans="2:5" x14ac:dyDescent="0.2">
      <c r="B594" s="221"/>
      <c r="C594" s="221"/>
      <c r="D594" s="221"/>
      <c r="E594" s="221"/>
    </row>
    <row r="595" spans="2:5" x14ac:dyDescent="0.2">
      <c r="B595" s="221"/>
      <c r="C595" s="221"/>
      <c r="D595" s="221"/>
      <c r="E595" s="221"/>
    </row>
    <row r="596" spans="2:5" x14ac:dyDescent="0.2">
      <c r="B596" s="221"/>
      <c r="C596" s="221"/>
      <c r="D596" s="221"/>
      <c r="E596" s="221"/>
    </row>
    <row r="597" spans="2:5" x14ac:dyDescent="0.2">
      <c r="B597" s="221"/>
      <c r="C597" s="221"/>
      <c r="D597" s="221"/>
      <c r="E597" s="221"/>
    </row>
    <row r="598" spans="2:5" x14ac:dyDescent="0.2">
      <c r="B598" s="221"/>
      <c r="C598" s="221"/>
      <c r="D598" s="221"/>
      <c r="E598" s="221"/>
    </row>
    <row r="599" spans="2:5" x14ac:dyDescent="0.2">
      <c r="B599" s="221"/>
      <c r="C599" s="221"/>
      <c r="D599" s="221"/>
      <c r="E599" s="221"/>
    </row>
    <row r="600" spans="2:5" x14ac:dyDescent="0.2">
      <c r="B600" s="221"/>
      <c r="C600" s="221"/>
      <c r="D600" s="221"/>
      <c r="E600" s="221"/>
    </row>
    <row r="601" spans="2:5" x14ac:dyDescent="0.2">
      <c r="B601" s="221"/>
      <c r="C601" s="221"/>
      <c r="D601" s="221"/>
      <c r="E601" s="221"/>
    </row>
    <row r="602" spans="2:5" x14ac:dyDescent="0.2">
      <c r="B602" s="221"/>
      <c r="C602" s="221"/>
      <c r="D602" s="221"/>
      <c r="E602" s="221"/>
    </row>
    <row r="603" spans="2:5" x14ac:dyDescent="0.2">
      <c r="B603" s="221"/>
      <c r="C603" s="221"/>
      <c r="D603" s="221"/>
      <c r="E603" s="221"/>
    </row>
    <row r="604" spans="2:5" x14ac:dyDescent="0.2">
      <c r="B604" s="221"/>
      <c r="C604" s="221"/>
      <c r="D604" s="221"/>
      <c r="E604" s="221"/>
    </row>
    <row r="605" spans="2:5" x14ac:dyDescent="0.2">
      <c r="B605" s="221"/>
      <c r="C605" s="221"/>
      <c r="D605" s="221"/>
      <c r="E605" s="221"/>
    </row>
    <row r="606" spans="2:5" x14ac:dyDescent="0.2">
      <c r="B606" s="221"/>
      <c r="C606" s="221"/>
      <c r="D606" s="221"/>
      <c r="E606" s="221"/>
    </row>
    <row r="607" spans="2:5" x14ac:dyDescent="0.2">
      <c r="B607" s="221"/>
      <c r="C607" s="221"/>
      <c r="D607" s="221"/>
      <c r="E607" s="221"/>
    </row>
    <row r="608" spans="2:5" x14ac:dyDescent="0.2">
      <c r="B608" s="221"/>
      <c r="C608" s="221"/>
      <c r="D608" s="221"/>
      <c r="E608" s="221"/>
    </row>
    <row r="609" spans="2:5" x14ac:dyDescent="0.2">
      <c r="B609" s="221"/>
      <c r="C609" s="221"/>
      <c r="D609" s="221"/>
      <c r="E609" s="221"/>
    </row>
    <row r="610" spans="2:5" x14ac:dyDescent="0.2">
      <c r="B610" s="221"/>
      <c r="C610" s="221"/>
      <c r="D610" s="221"/>
      <c r="E610" s="221"/>
    </row>
    <row r="611" spans="2:5" x14ac:dyDescent="0.2">
      <c r="B611" s="221"/>
      <c r="C611" s="221"/>
      <c r="D611" s="221"/>
      <c r="E611" s="221"/>
    </row>
    <row r="612" spans="2:5" x14ac:dyDescent="0.2">
      <c r="B612" s="221"/>
      <c r="C612" s="221"/>
      <c r="D612" s="221"/>
      <c r="E612" s="221"/>
    </row>
    <row r="613" spans="2:5" x14ac:dyDescent="0.2">
      <c r="B613" s="221"/>
      <c r="C613" s="221"/>
      <c r="D613" s="221"/>
      <c r="E613" s="221"/>
    </row>
    <row r="614" spans="2:5" x14ac:dyDescent="0.2">
      <c r="B614" s="221"/>
      <c r="C614" s="221"/>
      <c r="D614" s="221"/>
      <c r="E614" s="221"/>
    </row>
    <row r="615" spans="2:5" x14ac:dyDescent="0.2">
      <c r="B615" s="221"/>
      <c r="C615" s="221"/>
      <c r="D615" s="221"/>
      <c r="E615" s="221"/>
    </row>
    <row r="616" spans="2:5" x14ac:dyDescent="0.2">
      <c r="B616" s="221"/>
      <c r="C616" s="221"/>
      <c r="D616" s="221"/>
      <c r="E616" s="221"/>
    </row>
    <row r="617" spans="2:5" x14ac:dyDescent="0.2">
      <c r="B617" s="221"/>
      <c r="C617" s="221"/>
      <c r="D617" s="221"/>
      <c r="E617" s="221"/>
    </row>
    <row r="618" spans="2:5" x14ac:dyDescent="0.2">
      <c r="B618" s="221"/>
      <c r="C618" s="221"/>
      <c r="D618" s="221"/>
      <c r="E618" s="221"/>
    </row>
    <row r="619" spans="2:5" x14ac:dyDescent="0.2">
      <c r="B619" s="221"/>
      <c r="C619" s="221"/>
      <c r="D619" s="221"/>
      <c r="E619" s="221"/>
    </row>
    <row r="620" spans="2:5" x14ac:dyDescent="0.2">
      <c r="B620" s="221"/>
      <c r="C620" s="221"/>
      <c r="D620" s="221"/>
      <c r="E620" s="221"/>
    </row>
    <row r="621" spans="2:5" x14ac:dyDescent="0.2">
      <c r="B621" s="221"/>
      <c r="C621" s="221"/>
      <c r="D621" s="221"/>
      <c r="E621" s="221"/>
    </row>
    <row r="622" spans="2:5" x14ac:dyDescent="0.2">
      <c r="B622" s="221"/>
      <c r="C622" s="221"/>
      <c r="D622" s="221"/>
      <c r="E622" s="221"/>
    </row>
    <row r="623" spans="2:5" x14ac:dyDescent="0.2">
      <c r="B623" s="221"/>
      <c r="C623" s="221"/>
      <c r="D623" s="221"/>
      <c r="E623" s="221"/>
    </row>
    <row r="624" spans="2:5" x14ac:dyDescent="0.2">
      <c r="B624" s="221"/>
      <c r="C624" s="221"/>
      <c r="D624" s="221"/>
      <c r="E624" s="221"/>
    </row>
    <row r="625" spans="2:5" x14ac:dyDescent="0.2">
      <c r="B625" s="221"/>
      <c r="C625" s="221"/>
      <c r="D625" s="221"/>
      <c r="E625" s="221"/>
    </row>
    <row r="626" spans="2:5" x14ac:dyDescent="0.2">
      <c r="B626" s="221"/>
      <c r="C626" s="221"/>
      <c r="D626" s="221"/>
      <c r="E626" s="221"/>
    </row>
    <row r="627" spans="2:5" x14ac:dyDescent="0.2">
      <c r="B627" s="221"/>
      <c r="C627" s="221"/>
      <c r="D627" s="221"/>
      <c r="E627" s="221"/>
    </row>
    <row r="628" spans="2:5" x14ac:dyDescent="0.2">
      <c r="B628" s="221"/>
      <c r="C628" s="221"/>
      <c r="D628" s="221"/>
      <c r="E628" s="221"/>
    </row>
    <row r="629" spans="2:5" x14ac:dyDescent="0.2">
      <c r="B629" s="221"/>
      <c r="C629" s="221"/>
      <c r="D629" s="221"/>
      <c r="E629" s="221"/>
    </row>
    <row r="630" spans="2:5" x14ac:dyDescent="0.2">
      <c r="B630" s="221"/>
      <c r="C630" s="221"/>
      <c r="D630" s="221"/>
      <c r="E630" s="221"/>
    </row>
    <row r="631" spans="2:5" x14ac:dyDescent="0.2">
      <c r="B631" s="221"/>
      <c r="C631" s="221"/>
      <c r="D631" s="221"/>
      <c r="E631" s="221"/>
    </row>
    <row r="632" spans="2:5" x14ac:dyDescent="0.2">
      <c r="B632" s="221"/>
      <c r="C632" s="221"/>
      <c r="D632" s="221"/>
      <c r="E632" s="221"/>
    </row>
    <row r="633" spans="2:5" x14ac:dyDescent="0.2">
      <c r="B633" s="221"/>
      <c r="C633" s="221"/>
      <c r="D633" s="221"/>
      <c r="E633" s="221"/>
    </row>
    <row r="634" spans="2:5" x14ac:dyDescent="0.2">
      <c r="B634" s="221"/>
      <c r="C634" s="221"/>
      <c r="D634" s="221"/>
      <c r="E634" s="221"/>
    </row>
    <row r="635" spans="2:5" x14ac:dyDescent="0.2">
      <c r="B635" s="221"/>
      <c r="C635" s="221"/>
      <c r="D635" s="221"/>
      <c r="E635" s="221"/>
    </row>
    <row r="636" spans="2:5" x14ac:dyDescent="0.2">
      <c r="B636" s="221"/>
      <c r="C636" s="221"/>
      <c r="D636" s="221"/>
      <c r="E636" s="221"/>
    </row>
    <row r="637" spans="2:5" x14ac:dyDescent="0.2">
      <c r="B637" s="221"/>
      <c r="C637" s="221"/>
      <c r="D637" s="221"/>
      <c r="E637" s="221"/>
    </row>
    <row r="638" spans="2:5" x14ac:dyDescent="0.2">
      <c r="B638" s="221"/>
      <c r="C638" s="221"/>
      <c r="D638" s="221"/>
      <c r="E638" s="221"/>
    </row>
    <row r="639" spans="2:5" x14ac:dyDescent="0.2">
      <c r="B639" s="221"/>
      <c r="C639" s="221"/>
      <c r="D639" s="221"/>
      <c r="E639" s="221"/>
    </row>
    <row r="640" spans="2:5" x14ac:dyDescent="0.2">
      <c r="B640" s="221"/>
      <c r="C640" s="221"/>
      <c r="D640" s="221"/>
      <c r="E640" s="221"/>
    </row>
    <row r="641" spans="2:5" x14ac:dyDescent="0.2">
      <c r="B641" s="221"/>
      <c r="C641" s="221"/>
      <c r="D641" s="221"/>
      <c r="E641" s="221"/>
    </row>
    <row r="642" spans="2:5" x14ac:dyDescent="0.2">
      <c r="B642" s="221"/>
      <c r="C642" s="221"/>
      <c r="D642" s="221"/>
      <c r="E642" s="221"/>
    </row>
    <row r="643" spans="2:5" x14ac:dyDescent="0.2">
      <c r="B643" s="221"/>
      <c r="C643" s="221"/>
      <c r="D643" s="221"/>
      <c r="E643" s="221"/>
    </row>
    <row r="644" spans="2:5" x14ac:dyDescent="0.2">
      <c r="B644" s="221"/>
      <c r="C644" s="221"/>
      <c r="D644" s="221"/>
      <c r="E644" s="221"/>
    </row>
    <row r="645" spans="2:5" x14ac:dyDescent="0.2">
      <c r="B645" s="221"/>
      <c r="C645" s="221"/>
      <c r="D645" s="221"/>
      <c r="E645" s="221"/>
    </row>
    <row r="646" spans="2:5" x14ac:dyDescent="0.2">
      <c r="B646" s="221"/>
      <c r="C646" s="221"/>
      <c r="D646" s="221"/>
      <c r="E646" s="221"/>
    </row>
    <row r="647" spans="2:5" x14ac:dyDescent="0.2">
      <c r="B647" s="221"/>
      <c r="C647" s="221"/>
      <c r="D647" s="221"/>
      <c r="E647" s="221"/>
    </row>
    <row r="648" spans="2:5" x14ac:dyDescent="0.2">
      <c r="B648" s="221"/>
      <c r="C648" s="221"/>
      <c r="D648" s="221"/>
      <c r="E648" s="221"/>
    </row>
    <row r="649" spans="2:5" x14ac:dyDescent="0.2">
      <c r="B649" s="221"/>
      <c r="C649" s="221"/>
      <c r="D649" s="221"/>
      <c r="E649" s="221"/>
    </row>
    <row r="650" spans="2:5" x14ac:dyDescent="0.2">
      <c r="B650" s="221"/>
      <c r="C650" s="221"/>
      <c r="D650" s="221"/>
      <c r="E650" s="221"/>
    </row>
    <row r="651" spans="2:5" x14ac:dyDescent="0.2">
      <c r="B651" s="221"/>
      <c r="C651" s="221"/>
      <c r="D651" s="221"/>
      <c r="E651" s="221"/>
    </row>
    <row r="652" spans="2:5" x14ac:dyDescent="0.2">
      <c r="B652" s="221"/>
      <c r="C652" s="221"/>
      <c r="D652" s="221"/>
      <c r="E652" s="221"/>
    </row>
    <row r="653" spans="2:5" x14ac:dyDescent="0.2">
      <c r="B653" s="221"/>
      <c r="C653" s="221"/>
      <c r="D653" s="221"/>
      <c r="E653" s="221"/>
    </row>
    <row r="654" spans="2:5" x14ac:dyDescent="0.2">
      <c r="B654" s="221"/>
      <c r="C654" s="221"/>
      <c r="D654" s="221"/>
      <c r="E654" s="221"/>
    </row>
    <row r="655" spans="2:5" x14ac:dyDescent="0.2">
      <c r="B655" s="221"/>
      <c r="C655" s="221"/>
      <c r="D655" s="221"/>
      <c r="E655" s="221"/>
    </row>
    <row r="656" spans="2:5" x14ac:dyDescent="0.2">
      <c r="B656" s="221"/>
      <c r="C656" s="221"/>
      <c r="D656" s="221"/>
      <c r="E656" s="221"/>
    </row>
    <row r="657" spans="2:5" x14ac:dyDescent="0.2">
      <c r="B657" s="221"/>
      <c r="C657" s="221"/>
      <c r="D657" s="221"/>
      <c r="E657" s="221"/>
    </row>
    <row r="658" spans="2:5" x14ac:dyDescent="0.2">
      <c r="B658" s="221"/>
      <c r="C658" s="221"/>
      <c r="D658" s="221"/>
      <c r="E658" s="221"/>
    </row>
    <row r="659" spans="2:5" x14ac:dyDescent="0.2">
      <c r="B659" s="221"/>
      <c r="C659" s="221"/>
      <c r="D659" s="221"/>
      <c r="E659" s="221"/>
    </row>
    <row r="660" spans="2:5" x14ac:dyDescent="0.2">
      <c r="B660" s="221"/>
      <c r="C660" s="221"/>
      <c r="D660" s="221"/>
      <c r="E660" s="221"/>
    </row>
    <row r="661" spans="2:5" x14ac:dyDescent="0.2">
      <c r="B661" s="221"/>
      <c r="C661" s="221"/>
      <c r="D661" s="221"/>
      <c r="E661" s="221"/>
    </row>
    <row r="662" spans="2:5" x14ac:dyDescent="0.2">
      <c r="B662" s="221"/>
      <c r="C662" s="221"/>
      <c r="D662" s="221"/>
      <c r="E662" s="221"/>
    </row>
    <row r="663" spans="2:5" x14ac:dyDescent="0.2">
      <c r="B663" s="221"/>
      <c r="C663" s="221"/>
      <c r="D663" s="221"/>
      <c r="E663" s="221"/>
    </row>
    <row r="664" spans="2:5" x14ac:dyDescent="0.2">
      <c r="B664" s="221"/>
      <c r="C664" s="221"/>
      <c r="D664" s="221"/>
      <c r="E664" s="221"/>
    </row>
    <row r="665" spans="2:5" x14ac:dyDescent="0.2">
      <c r="B665" s="221"/>
      <c r="C665" s="221"/>
      <c r="D665" s="221"/>
      <c r="E665" s="221"/>
    </row>
    <row r="666" spans="2:5" x14ac:dyDescent="0.2">
      <c r="B666" s="221"/>
      <c r="C666" s="221"/>
      <c r="D666" s="221"/>
      <c r="E666" s="221"/>
    </row>
    <row r="667" spans="2:5" x14ac:dyDescent="0.2">
      <c r="B667" s="221"/>
      <c r="C667" s="221"/>
      <c r="D667" s="221"/>
      <c r="E667" s="221"/>
    </row>
    <row r="668" spans="2:5" x14ac:dyDescent="0.2">
      <c r="B668" s="221"/>
      <c r="C668" s="221"/>
      <c r="D668" s="221"/>
      <c r="E668" s="221"/>
    </row>
    <row r="669" spans="2:5" x14ac:dyDescent="0.2">
      <c r="B669" s="221"/>
      <c r="C669" s="221"/>
      <c r="D669" s="221"/>
      <c r="E669" s="221"/>
    </row>
    <row r="670" spans="2:5" x14ac:dyDescent="0.2">
      <c r="B670" s="221"/>
      <c r="C670" s="221"/>
      <c r="D670" s="221"/>
      <c r="E670" s="221"/>
    </row>
    <row r="671" spans="2:5" x14ac:dyDescent="0.2">
      <c r="B671" s="221"/>
      <c r="C671" s="221"/>
      <c r="D671" s="221"/>
      <c r="E671" s="221"/>
    </row>
    <row r="672" spans="2:5" x14ac:dyDescent="0.2">
      <c r="B672" s="221"/>
      <c r="C672" s="221"/>
      <c r="D672" s="221"/>
      <c r="E672" s="221"/>
    </row>
    <row r="673" spans="2:5" x14ac:dyDescent="0.2">
      <c r="B673" s="221"/>
      <c r="C673" s="221"/>
      <c r="D673" s="221"/>
      <c r="E673" s="221"/>
    </row>
    <row r="674" spans="2:5" x14ac:dyDescent="0.2">
      <c r="B674" s="221"/>
      <c r="C674" s="221"/>
      <c r="D674" s="221"/>
      <c r="E674" s="221"/>
    </row>
    <row r="675" spans="2:5" x14ac:dyDescent="0.2">
      <c r="B675" s="221"/>
      <c r="C675" s="221"/>
      <c r="D675" s="221"/>
      <c r="E675" s="221"/>
    </row>
    <row r="676" spans="2:5" x14ac:dyDescent="0.2">
      <c r="B676" s="221"/>
      <c r="C676" s="221"/>
      <c r="D676" s="221"/>
      <c r="E676" s="221"/>
    </row>
    <row r="677" spans="2:5" x14ac:dyDescent="0.2">
      <c r="B677" s="221"/>
      <c r="C677" s="221"/>
      <c r="D677" s="221"/>
      <c r="E677" s="221"/>
    </row>
    <row r="678" spans="2:5" x14ac:dyDescent="0.2">
      <c r="B678" s="221"/>
      <c r="C678" s="221"/>
      <c r="D678" s="221"/>
      <c r="E678" s="221"/>
    </row>
    <row r="679" spans="2:5" x14ac:dyDescent="0.2">
      <c r="B679" s="221"/>
      <c r="C679" s="221"/>
      <c r="D679" s="221"/>
      <c r="E679" s="221"/>
    </row>
    <row r="680" spans="2:5" x14ac:dyDescent="0.2">
      <c r="B680" s="221"/>
      <c r="C680" s="221"/>
      <c r="D680" s="221"/>
      <c r="E680" s="221"/>
    </row>
    <row r="681" spans="2:5" x14ac:dyDescent="0.2">
      <c r="B681" s="221"/>
      <c r="C681" s="221"/>
      <c r="D681" s="221"/>
      <c r="E681" s="221"/>
    </row>
    <row r="682" spans="2:5" x14ac:dyDescent="0.2">
      <c r="B682" s="221"/>
      <c r="C682" s="221"/>
      <c r="D682" s="221"/>
      <c r="E682" s="221"/>
    </row>
    <row r="683" spans="2:5" x14ac:dyDescent="0.2">
      <c r="B683" s="221"/>
      <c r="C683" s="221"/>
      <c r="D683" s="221"/>
      <c r="E683" s="221"/>
    </row>
    <row r="684" spans="2:5" x14ac:dyDescent="0.2">
      <c r="B684" s="221"/>
      <c r="C684" s="221"/>
      <c r="D684" s="221"/>
      <c r="E684" s="221"/>
    </row>
    <row r="685" spans="2:5" x14ac:dyDescent="0.2">
      <c r="B685" s="221"/>
      <c r="C685" s="221"/>
      <c r="D685" s="221"/>
      <c r="E685" s="221"/>
    </row>
    <row r="686" spans="2:5" x14ac:dyDescent="0.2">
      <c r="B686" s="221"/>
      <c r="C686" s="221"/>
      <c r="D686" s="221"/>
      <c r="E686" s="221"/>
    </row>
    <row r="687" spans="2:5" x14ac:dyDescent="0.2">
      <c r="B687" s="221"/>
      <c r="C687" s="221"/>
      <c r="D687" s="221"/>
      <c r="E687" s="221"/>
    </row>
    <row r="688" spans="2:5" x14ac:dyDescent="0.2">
      <c r="B688" s="221"/>
      <c r="C688" s="221"/>
      <c r="D688" s="221"/>
      <c r="E688" s="221"/>
    </row>
    <row r="689" spans="2:5" x14ac:dyDescent="0.2">
      <c r="B689" s="221"/>
      <c r="C689" s="221"/>
      <c r="D689" s="221"/>
      <c r="E689" s="221"/>
    </row>
    <row r="690" spans="2:5" x14ac:dyDescent="0.2">
      <c r="B690" s="221"/>
      <c r="C690" s="221"/>
      <c r="D690" s="221"/>
      <c r="E690" s="221"/>
    </row>
    <row r="691" spans="2:5" x14ac:dyDescent="0.2">
      <c r="B691" s="221"/>
      <c r="C691" s="221"/>
      <c r="D691" s="221"/>
      <c r="E691" s="221"/>
    </row>
    <row r="692" spans="2:5" x14ac:dyDescent="0.2">
      <c r="B692" s="221"/>
      <c r="C692" s="221"/>
      <c r="D692" s="221"/>
      <c r="E692" s="221"/>
    </row>
    <row r="693" spans="2:5" x14ac:dyDescent="0.2">
      <c r="B693" s="221"/>
      <c r="C693" s="221"/>
      <c r="D693" s="221"/>
      <c r="E693" s="221"/>
    </row>
    <row r="694" spans="2:5" x14ac:dyDescent="0.2">
      <c r="B694" s="221"/>
      <c r="C694" s="221"/>
      <c r="D694" s="221"/>
      <c r="E694" s="221"/>
    </row>
    <row r="695" spans="2:5" x14ac:dyDescent="0.2">
      <c r="B695" s="221"/>
      <c r="C695" s="221"/>
      <c r="D695" s="221"/>
      <c r="E695" s="221"/>
    </row>
    <row r="696" spans="2:5" x14ac:dyDescent="0.2">
      <c r="B696" s="221"/>
      <c r="C696" s="221"/>
      <c r="D696" s="221"/>
      <c r="E696" s="221"/>
    </row>
    <row r="697" spans="2:5" x14ac:dyDescent="0.2">
      <c r="B697" s="221"/>
      <c r="C697" s="221"/>
      <c r="D697" s="221"/>
      <c r="E697" s="221"/>
    </row>
    <row r="698" spans="2:5" x14ac:dyDescent="0.2">
      <c r="B698" s="221"/>
      <c r="C698" s="221"/>
      <c r="D698" s="221"/>
      <c r="E698" s="221"/>
    </row>
    <row r="699" spans="2:5" x14ac:dyDescent="0.2">
      <c r="B699" s="221"/>
      <c r="C699" s="221"/>
      <c r="D699" s="221"/>
      <c r="E699" s="221"/>
    </row>
    <row r="700" spans="2:5" x14ac:dyDescent="0.2">
      <c r="B700" s="221"/>
      <c r="C700" s="221"/>
      <c r="D700" s="221"/>
      <c r="E700" s="221"/>
    </row>
    <row r="701" spans="2:5" x14ac:dyDescent="0.2">
      <c r="B701" s="221"/>
      <c r="C701" s="221"/>
      <c r="D701" s="221"/>
      <c r="E701" s="221"/>
    </row>
    <row r="702" spans="2:5" x14ac:dyDescent="0.2">
      <c r="B702" s="221"/>
      <c r="C702" s="221"/>
      <c r="D702" s="221"/>
      <c r="E702" s="221"/>
    </row>
    <row r="703" spans="2:5" x14ac:dyDescent="0.2">
      <c r="B703" s="221"/>
      <c r="C703" s="221"/>
      <c r="D703" s="221"/>
      <c r="E703" s="221"/>
    </row>
    <row r="704" spans="2:5" x14ac:dyDescent="0.2">
      <c r="B704" s="221"/>
      <c r="C704" s="221"/>
      <c r="D704" s="221"/>
      <c r="E704" s="221"/>
    </row>
    <row r="705" spans="2:5" x14ac:dyDescent="0.2">
      <c r="B705" s="221"/>
      <c r="C705" s="221"/>
      <c r="D705" s="221"/>
      <c r="E705" s="221"/>
    </row>
    <row r="706" spans="2:5" x14ac:dyDescent="0.2">
      <c r="B706" s="221"/>
      <c r="C706" s="221"/>
      <c r="D706" s="221"/>
      <c r="E706" s="221"/>
    </row>
    <row r="707" spans="2:5" x14ac:dyDescent="0.2">
      <c r="B707" s="221"/>
      <c r="C707" s="221"/>
      <c r="D707" s="221"/>
      <c r="E707" s="221"/>
    </row>
    <row r="708" spans="2:5" x14ac:dyDescent="0.2">
      <c r="B708" s="221"/>
      <c r="C708" s="221"/>
      <c r="D708" s="221"/>
      <c r="E708" s="221"/>
    </row>
    <row r="709" spans="2:5" x14ac:dyDescent="0.2">
      <c r="B709" s="221"/>
      <c r="C709" s="221"/>
      <c r="D709" s="221"/>
      <c r="E709" s="221"/>
    </row>
    <row r="710" spans="2:5" x14ac:dyDescent="0.2">
      <c r="B710" s="221"/>
      <c r="C710" s="221"/>
      <c r="D710" s="221"/>
      <c r="E710" s="221"/>
    </row>
    <row r="711" spans="2:5" x14ac:dyDescent="0.2">
      <c r="B711" s="221"/>
      <c r="C711" s="221"/>
      <c r="D711" s="221"/>
      <c r="E711" s="221"/>
    </row>
    <row r="712" spans="2:5" x14ac:dyDescent="0.2">
      <c r="B712" s="221"/>
      <c r="C712" s="221"/>
      <c r="D712" s="221"/>
      <c r="E712" s="221"/>
    </row>
    <row r="713" spans="2:5" x14ac:dyDescent="0.2">
      <c r="B713" s="221"/>
      <c r="C713" s="221"/>
      <c r="D713" s="221"/>
      <c r="E713" s="221"/>
    </row>
    <row r="714" spans="2:5" x14ac:dyDescent="0.2">
      <c r="B714" s="221"/>
      <c r="C714" s="221"/>
      <c r="D714" s="221"/>
      <c r="E714" s="221"/>
    </row>
    <row r="715" spans="2:5" x14ac:dyDescent="0.2">
      <c r="B715" s="221"/>
      <c r="C715" s="221"/>
      <c r="D715" s="221"/>
      <c r="E715" s="221"/>
    </row>
    <row r="716" spans="2:5" x14ac:dyDescent="0.2">
      <c r="B716" s="221"/>
      <c r="C716" s="221"/>
      <c r="D716" s="221"/>
      <c r="E716" s="221"/>
    </row>
    <row r="717" spans="2:5" x14ac:dyDescent="0.2">
      <c r="B717" s="221"/>
      <c r="C717" s="221"/>
      <c r="D717" s="221"/>
      <c r="E717" s="221"/>
    </row>
    <row r="718" spans="2:5" x14ac:dyDescent="0.2">
      <c r="B718" s="221"/>
      <c r="C718" s="221"/>
      <c r="D718" s="221"/>
      <c r="E718" s="221"/>
    </row>
    <row r="719" spans="2:5" x14ac:dyDescent="0.2">
      <c r="B719" s="221"/>
      <c r="C719" s="221"/>
      <c r="D719" s="221"/>
      <c r="E719" s="221"/>
    </row>
    <row r="720" spans="2:5" x14ac:dyDescent="0.2">
      <c r="B720" s="221"/>
      <c r="C720" s="221"/>
      <c r="D720" s="221"/>
      <c r="E720" s="221"/>
    </row>
    <row r="721" spans="2:5" x14ac:dyDescent="0.2">
      <c r="B721" s="221"/>
      <c r="C721" s="221"/>
      <c r="D721" s="221"/>
      <c r="E721" s="221"/>
    </row>
    <row r="722" spans="2:5" x14ac:dyDescent="0.2">
      <c r="B722" s="221"/>
      <c r="C722" s="221"/>
      <c r="D722" s="221"/>
      <c r="E722" s="221"/>
    </row>
    <row r="723" spans="2:5" x14ac:dyDescent="0.2">
      <c r="B723" s="221"/>
      <c r="C723" s="221"/>
      <c r="D723" s="221"/>
      <c r="E723" s="221"/>
    </row>
    <row r="724" spans="2:5" x14ac:dyDescent="0.2">
      <c r="B724" s="221"/>
      <c r="C724" s="221"/>
      <c r="D724" s="221"/>
      <c r="E724" s="221"/>
    </row>
    <row r="725" spans="2:5" x14ac:dyDescent="0.2">
      <c r="B725" s="221"/>
      <c r="C725" s="221"/>
      <c r="D725" s="221"/>
      <c r="E725" s="221"/>
    </row>
    <row r="726" spans="2:5" x14ac:dyDescent="0.2">
      <c r="B726" s="221"/>
      <c r="C726" s="221"/>
      <c r="D726" s="221"/>
      <c r="E726" s="221"/>
    </row>
    <row r="727" spans="2:5" x14ac:dyDescent="0.2">
      <c r="B727" s="221"/>
      <c r="C727" s="221"/>
      <c r="D727" s="221"/>
      <c r="E727" s="221"/>
    </row>
    <row r="728" spans="2:5" x14ac:dyDescent="0.2">
      <c r="B728" s="221"/>
      <c r="C728" s="221"/>
      <c r="D728" s="221"/>
      <c r="E728" s="221"/>
    </row>
    <row r="729" spans="2:5" x14ac:dyDescent="0.2">
      <c r="B729" s="221"/>
      <c r="C729" s="221"/>
      <c r="D729" s="221"/>
      <c r="E729" s="221"/>
    </row>
    <row r="730" spans="2:5" x14ac:dyDescent="0.2">
      <c r="B730" s="221"/>
      <c r="C730" s="221"/>
      <c r="D730" s="221"/>
      <c r="E730" s="221"/>
    </row>
    <row r="731" spans="2:5" x14ac:dyDescent="0.2">
      <c r="B731" s="221"/>
      <c r="C731" s="221"/>
      <c r="D731" s="221"/>
      <c r="E731" s="221"/>
    </row>
    <row r="732" spans="2:5" x14ac:dyDescent="0.2">
      <c r="B732" s="221"/>
      <c r="C732" s="221"/>
      <c r="D732" s="221"/>
      <c r="E732" s="221"/>
    </row>
    <row r="733" spans="2:5" x14ac:dyDescent="0.2">
      <c r="B733" s="221"/>
      <c r="C733" s="221"/>
      <c r="D733" s="221"/>
      <c r="E733" s="221"/>
    </row>
    <row r="734" spans="2:5" x14ac:dyDescent="0.2">
      <c r="B734" s="221"/>
      <c r="C734" s="221"/>
      <c r="D734" s="221"/>
      <c r="E734" s="221"/>
    </row>
    <row r="735" spans="2:5" x14ac:dyDescent="0.2">
      <c r="B735" s="221"/>
      <c r="C735" s="221"/>
      <c r="D735" s="221"/>
      <c r="E735" s="221"/>
    </row>
    <row r="736" spans="2:5" x14ac:dyDescent="0.2">
      <c r="B736" s="221"/>
      <c r="C736" s="221"/>
      <c r="D736" s="221"/>
      <c r="E736" s="221"/>
    </row>
    <row r="737" spans="2:5" x14ac:dyDescent="0.2">
      <c r="B737" s="221"/>
      <c r="C737" s="221"/>
      <c r="D737" s="221"/>
      <c r="E737" s="221"/>
    </row>
    <row r="738" spans="2:5" x14ac:dyDescent="0.2">
      <c r="B738" s="221"/>
      <c r="C738" s="221"/>
      <c r="D738" s="221"/>
      <c r="E738" s="221"/>
    </row>
    <row r="739" spans="2:5" x14ac:dyDescent="0.2">
      <c r="B739" s="221"/>
      <c r="C739" s="221"/>
      <c r="D739" s="221"/>
      <c r="E739" s="221"/>
    </row>
    <row r="740" spans="2:5" x14ac:dyDescent="0.2">
      <c r="B740" s="221"/>
      <c r="C740" s="221"/>
      <c r="D740" s="221"/>
      <c r="E740" s="221"/>
    </row>
    <row r="741" spans="2:5" x14ac:dyDescent="0.2">
      <c r="B741" s="221"/>
      <c r="C741" s="221"/>
      <c r="D741" s="221"/>
      <c r="E741" s="221"/>
    </row>
    <row r="742" spans="2:5" x14ac:dyDescent="0.2">
      <c r="B742" s="221"/>
      <c r="C742" s="221"/>
      <c r="D742" s="221"/>
      <c r="E742" s="221"/>
    </row>
    <row r="743" spans="2:5" x14ac:dyDescent="0.2">
      <c r="B743" s="221"/>
      <c r="C743" s="221"/>
      <c r="D743" s="221"/>
      <c r="E743" s="221"/>
    </row>
    <row r="744" spans="2:5" x14ac:dyDescent="0.2">
      <c r="B744" s="221"/>
      <c r="C744" s="221"/>
      <c r="D744" s="221"/>
      <c r="E744" s="221"/>
    </row>
    <row r="745" spans="2:5" x14ac:dyDescent="0.2">
      <c r="B745" s="221"/>
      <c r="C745" s="221"/>
      <c r="D745" s="221"/>
      <c r="E745" s="221"/>
    </row>
    <row r="746" spans="2:5" x14ac:dyDescent="0.2">
      <c r="B746" s="221"/>
      <c r="C746" s="221"/>
      <c r="D746" s="221"/>
      <c r="E746" s="221"/>
    </row>
    <row r="747" spans="2:5" x14ac:dyDescent="0.2">
      <c r="B747" s="221"/>
      <c r="C747" s="221"/>
      <c r="D747" s="221"/>
      <c r="E747" s="221"/>
    </row>
    <row r="748" spans="2:5" x14ac:dyDescent="0.2">
      <c r="B748" s="221"/>
      <c r="C748" s="221"/>
      <c r="D748" s="221"/>
      <c r="E748" s="221"/>
    </row>
    <row r="749" spans="2:5" x14ac:dyDescent="0.2">
      <c r="B749" s="221"/>
      <c r="C749" s="221"/>
      <c r="D749" s="221"/>
      <c r="E749" s="221"/>
    </row>
    <row r="750" spans="2:5" x14ac:dyDescent="0.2">
      <c r="B750" s="221"/>
      <c r="C750" s="221"/>
      <c r="D750" s="221"/>
      <c r="E750" s="221"/>
    </row>
    <row r="751" spans="2:5" x14ac:dyDescent="0.2">
      <c r="B751" s="221"/>
      <c r="C751" s="221"/>
      <c r="D751" s="221"/>
      <c r="E751" s="221"/>
    </row>
    <row r="752" spans="2:5" x14ac:dyDescent="0.2">
      <c r="B752" s="221"/>
      <c r="C752" s="221"/>
      <c r="D752" s="221"/>
      <c r="E752" s="221"/>
    </row>
    <row r="753" spans="2:5" x14ac:dyDescent="0.2">
      <c r="B753" s="221"/>
      <c r="C753" s="221"/>
      <c r="D753" s="221"/>
      <c r="E753" s="221"/>
    </row>
    <row r="754" spans="2:5" x14ac:dyDescent="0.2">
      <c r="B754" s="221"/>
      <c r="C754" s="221"/>
      <c r="D754" s="221"/>
      <c r="E754" s="221"/>
    </row>
    <row r="755" spans="2:5" x14ac:dyDescent="0.2">
      <c r="B755" s="221"/>
      <c r="C755" s="221"/>
      <c r="D755" s="221"/>
      <c r="E755" s="221"/>
    </row>
    <row r="756" spans="2:5" x14ac:dyDescent="0.2">
      <c r="B756" s="221"/>
      <c r="C756" s="221"/>
      <c r="D756" s="221"/>
      <c r="E756" s="221"/>
    </row>
    <row r="757" spans="2:5" x14ac:dyDescent="0.2">
      <c r="B757" s="221"/>
      <c r="C757" s="221"/>
      <c r="D757" s="221"/>
      <c r="E757" s="221"/>
    </row>
    <row r="758" spans="2:5" x14ac:dyDescent="0.2">
      <c r="B758" s="221"/>
      <c r="C758" s="221"/>
      <c r="D758" s="221"/>
      <c r="E758" s="221"/>
    </row>
    <row r="759" spans="2:5" x14ac:dyDescent="0.2">
      <c r="B759" s="221"/>
      <c r="C759" s="221"/>
      <c r="D759" s="221"/>
      <c r="E759" s="221"/>
    </row>
    <row r="760" spans="2:5" x14ac:dyDescent="0.2">
      <c r="B760" s="221"/>
      <c r="C760" s="221"/>
      <c r="D760" s="221"/>
      <c r="E760" s="221"/>
    </row>
    <row r="761" spans="2:5" x14ac:dyDescent="0.2">
      <c r="B761" s="221"/>
      <c r="C761" s="221"/>
      <c r="D761" s="221"/>
      <c r="E761" s="221"/>
    </row>
    <row r="762" spans="2:5" x14ac:dyDescent="0.2">
      <c r="B762" s="221"/>
      <c r="C762" s="221"/>
      <c r="D762" s="221"/>
      <c r="E762" s="221"/>
    </row>
    <row r="763" spans="2:5" x14ac:dyDescent="0.2">
      <c r="B763" s="221"/>
      <c r="C763" s="221"/>
      <c r="D763" s="221"/>
      <c r="E763" s="221"/>
    </row>
    <row r="764" spans="2:5" x14ac:dyDescent="0.2">
      <c r="B764" s="221"/>
      <c r="C764" s="221"/>
      <c r="D764" s="221"/>
      <c r="E764" s="221"/>
    </row>
    <row r="765" spans="2:5" x14ac:dyDescent="0.2">
      <c r="B765" s="221"/>
      <c r="C765" s="221"/>
      <c r="D765" s="221"/>
      <c r="E765" s="221"/>
    </row>
    <row r="766" spans="2:5" x14ac:dyDescent="0.2">
      <c r="B766" s="221"/>
      <c r="C766" s="221"/>
      <c r="D766" s="221"/>
      <c r="E766" s="221"/>
    </row>
    <row r="767" spans="2:5" x14ac:dyDescent="0.2">
      <c r="B767" s="221"/>
      <c r="C767" s="221"/>
      <c r="D767" s="221"/>
      <c r="E767" s="221"/>
    </row>
    <row r="768" spans="2:5" x14ac:dyDescent="0.2">
      <c r="B768" s="221"/>
      <c r="C768" s="221"/>
      <c r="D768" s="221"/>
      <c r="E768" s="221"/>
    </row>
    <row r="769" spans="2:5" x14ac:dyDescent="0.2">
      <c r="B769" s="221"/>
      <c r="C769" s="221"/>
      <c r="D769" s="221"/>
      <c r="E769" s="221"/>
    </row>
    <row r="770" spans="2:5" x14ac:dyDescent="0.2">
      <c r="B770" s="221"/>
      <c r="C770" s="221"/>
      <c r="D770" s="221"/>
      <c r="E770" s="221"/>
    </row>
    <row r="771" spans="2:5" x14ac:dyDescent="0.2">
      <c r="B771" s="221"/>
      <c r="C771" s="221"/>
      <c r="D771" s="221"/>
      <c r="E771" s="221"/>
    </row>
    <row r="772" spans="2:5" x14ac:dyDescent="0.2">
      <c r="B772" s="221"/>
      <c r="C772" s="221"/>
      <c r="D772" s="221"/>
      <c r="E772" s="221"/>
    </row>
    <row r="773" spans="2:5" x14ac:dyDescent="0.2">
      <c r="B773" s="221"/>
      <c r="C773" s="221"/>
      <c r="D773" s="221"/>
      <c r="E773" s="221"/>
    </row>
    <row r="774" spans="2:5" x14ac:dyDescent="0.2">
      <c r="B774" s="221"/>
      <c r="C774" s="221"/>
      <c r="D774" s="221"/>
      <c r="E774" s="221"/>
    </row>
    <row r="775" spans="2:5" x14ac:dyDescent="0.2">
      <c r="B775" s="221"/>
      <c r="C775" s="221"/>
      <c r="D775" s="221"/>
      <c r="E775" s="221"/>
    </row>
    <row r="776" spans="2:5" x14ac:dyDescent="0.2">
      <c r="B776" s="221"/>
      <c r="C776" s="221"/>
      <c r="D776" s="221"/>
      <c r="E776" s="221"/>
    </row>
    <row r="777" spans="2:5" x14ac:dyDescent="0.2">
      <c r="B777" s="221"/>
      <c r="C777" s="221"/>
      <c r="D777" s="221"/>
      <c r="E777" s="221"/>
    </row>
    <row r="778" spans="2:5" x14ac:dyDescent="0.2">
      <c r="B778" s="221"/>
      <c r="C778" s="221"/>
      <c r="D778" s="221"/>
      <c r="E778" s="221"/>
    </row>
    <row r="779" spans="2:5" x14ac:dyDescent="0.2">
      <c r="B779" s="221"/>
      <c r="C779" s="221"/>
      <c r="D779" s="221"/>
      <c r="E779" s="221"/>
    </row>
    <row r="780" spans="2:5" x14ac:dyDescent="0.2">
      <c r="B780" s="221"/>
      <c r="C780" s="221"/>
      <c r="D780" s="221"/>
      <c r="E780" s="221"/>
    </row>
    <row r="781" spans="2:5" x14ac:dyDescent="0.2">
      <c r="B781" s="221"/>
      <c r="C781" s="221"/>
      <c r="D781" s="221"/>
      <c r="E781" s="221"/>
    </row>
    <row r="782" spans="2:5" x14ac:dyDescent="0.2">
      <c r="B782" s="221"/>
      <c r="C782" s="221"/>
      <c r="D782" s="221"/>
      <c r="E782" s="221"/>
    </row>
    <row r="783" spans="2:5" x14ac:dyDescent="0.2">
      <c r="B783" s="221"/>
      <c r="C783" s="221"/>
      <c r="D783" s="221"/>
      <c r="E783" s="221"/>
    </row>
    <row r="784" spans="2:5" x14ac:dyDescent="0.2">
      <c r="B784" s="221"/>
      <c r="C784" s="221"/>
      <c r="D784" s="221"/>
      <c r="E784" s="221"/>
    </row>
    <row r="785" spans="2:5" x14ac:dyDescent="0.2">
      <c r="B785" s="221"/>
      <c r="C785" s="221"/>
      <c r="D785" s="221"/>
      <c r="E785" s="221"/>
    </row>
    <row r="786" spans="2:5" x14ac:dyDescent="0.2">
      <c r="B786" s="221"/>
      <c r="C786" s="221"/>
      <c r="D786" s="221"/>
      <c r="E786" s="221"/>
    </row>
    <row r="787" spans="2:5" x14ac:dyDescent="0.2">
      <c r="B787" s="221"/>
      <c r="C787" s="221"/>
      <c r="D787" s="221"/>
      <c r="E787" s="221"/>
    </row>
    <row r="788" spans="2:5" x14ac:dyDescent="0.2">
      <c r="B788" s="221"/>
      <c r="C788" s="221"/>
      <c r="D788" s="221"/>
      <c r="E788" s="221"/>
    </row>
    <row r="789" spans="2:5" x14ac:dyDescent="0.2">
      <c r="B789" s="221"/>
      <c r="C789" s="221"/>
      <c r="D789" s="221"/>
      <c r="E789" s="221"/>
    </row>
    <row r="790" spans="2:5" x14ac:dyDescent="0.2">
      <c r="B790" s="221"/>
      <c r="C790" s="221"/>
      <c r="D790" s="221"/>
      <c r="E790" s="221"/>
    </row>
    <row r="791" spans="2:5" x14ac:dyDescent="0.2">
      <c r="B791" s="221"/>
      <c r="C791" s="221"/>
      <c r="D791" s="221"/>
      <c r="E791" s="221"/>
    </row>
    <row r="792" spans="2:5" x14ac:dyDescent="0.2">
      <c r="B792" s="221"/>
      <c r="C792" s="221"/>
      <c r="D792" s="221"/>
      <c r="E792" s="221"/>
    </row>
    <row r="793" spans="2:5" x14ac:dyDescent="0.2">
      <c r="B793" s="221"/>
      <c r="C793" s="221"/>
      <c r="D793" s="221"/>
      <c r="E793" s="221"/>
    </row>
    <row r="794" spans="2:5" x14ac:dyDescent="0.2">
      <c r="B794" s="221"/>
      <c r="C794" s="221"/>
      <c r="D794" s="221"/>
      <c r="E794" s="221"/>
    </row>
    <row r="795" spans="2:5" x14ac:dyDescent="0.2">
      <c r="B795" s="221"/>
      <c r="C795" s="221"/>
      <c r="D795" s="221"/>
      <c r="E795" s="221"/>
    </row>
    <row r="796" spans="2:5" x14ac:dyDescent="0.2">
      <c r="B796" s="221"/>
      <c r="C796" s="221"/>
      <c r="D796" s="221"/>
      <c r="E796" s="221"/>
    </row>
    <row r="797" spans="2:5" x14ac:dyDescent="0.2">
      <c r="B797" s="221"/>
      <c r="C797" s="221"/>
      <c r="D797" s="221"/>
      <c r="E797" s="221"/>
    </row>
    <row r="798" spans="2:5" x14ac:dyDescent="0.2">
      <c r="B798" s="221"/>
      <c r="C798" s="221"/>
      <c r="D798" s="221"/>
      <c r="E798" s="221"/>
    </row>
    <row r="799" spans="2:5" x14ac:dyDescent="0.2">
      <c r="B799" s="221"/>
      <c r="C799" s="221"/>
      <c r="D799" s="221"/>
      <c r="E799" s="221"/>
    </row>
    <row r="800" spans="2:5" x14ac:dyDescent="0.2">
      <c r="B800" s="221"/>
      <c r="C800" s="221"/>
      <c r="D800" s="221"/>
      <c r="E800" s="221"/>
    </row>
    <row r="801" spans="2:5" x14ac:dyDescent="0.2">
      <c r="B801" s="221"/>
      <c r="C801" s="221"/>
      <c r="D801" s="221"/>
      <c r="E801" s="221"/>
    </row>
    <row r="802" spans="2:5" x14ac:dyDescent="0.2">
      <c r="B802" s="221"/>
      <c r="C802" s="221"/>
      <c r="D802" s="221"/>
      <c r="E802" s="221"/>
    </row>
    <row r="803" spans="2:5" x14ac:dyDescent="0.2">
      <c r="B803" s="221"/>
      <c r="C803" s="221"/>
      <c r="D803" s="221"/>
      <c r="E803" s="221"/>
    </row>
    <row r="804" spans="2:5" x14ac:dyDescent="0.2">
      <c r="B804" s="221"/>
      <c r="C804" s="221"/>
      <c r="D804" s="221"/>
      <c r="E804" s="221"/>
    </row>
    <row r="805" spans="2:5" x14ac:dyDescent="0.2">
      <c r="B805" s="221"/>
      <c r="C805" s="221"/>
      <c r="D805" s="221"/>
      <c r="E805" s="221"/>
    </row>
    <row r="806" spans="2:5" x14ac:dyDescent="0.2">
      <c r="B806" s="221"/>
      <c r="C806" s="221"/>
      <c r="D806" s="221"/>
      <c r="E806" s="221"/>
    </row>
    <row r="807" spans="2:5" x14ac:dyDescent="0.2">
      <c r="B807" s="221"/>
      <c r="C807" s="221"/>
      <c r="D807" s="221"/>
      <c r="E807" s="221"/>
    </row>
    <row r="808" spans="2:5" x14ac:dyDescent="0.2">
      <c r="B808" s="221"/>
      <c r="C808" s="221"/>
      <c r="D808" s="221"/>
      <c r="E808" s="221"/>
    </row>
    <row r="809" spans="2:5" x14ac:dyDescent="0.2">
      <c r="B809" s="221"/>
      <c r="C809" s="221"/>
      <c r="D809" s="221"/>
      <c r="E809" s="221"/>
    </row>
    <row r="810" spans="2:5" x14ac:dyDescent="0.2">
      <c r="B810" s="221"/>
      <c r="C810" s="221"/>
      <c r="D810" s="221"/>
      <c r="E810" s="221"/>
    </row>
    <row r="811" spans="2:5" x14ac:dyDescent="0.2">
      <c r="B811" s="221"/>
      <c r="C811" s="221"/>
      <c r="D811" s="221"/>
      <c r="E811" s="221"/>
    </row>
    <row r="812" spans="2:5" x14ac:dyDescent="0.2">
      <c r="B812" s="221"/>
      <c r="C812" s="221"/>
      <c r="D812" s="221"/>
      <c r="E812" s="221"/>
    </row>
    <row r="813" spans="2:5" x14ac:dyDescent="0.2">
      <c r="B813" s="221"/>
      <c r="C813" s="221"/>
      <c r="D813" s="221"/>
      <c r="E813" s="221"/>
    </row>
    <row r="814" spans="2:5" x14ac:dyDescent="0.2">
      <c r="B814" s="221"/>
      <c r="C814" s="221"/>
      <c r="D814" s="221"/>
      <c r="E814" s="221"/>
    </row>
    <row r="815" spans="2:5" x14ac:dyDescent="0.2">
      <c r="B815" s="221"/>
      <c r="C815" s="221"/>
      <c r="D815" s="221"/>
      <c r="E815" s="221"/>
    </row>
    <row r="816" spans="2:5" x14ac:dyDescent="0.2">
      <c r="B816" s="221"/>
      <c r="C816" s="221"/>
      <c r="D816" s="221"/>
      <c r="E816" s="221"/>
    </row>
    <row r="817" spans="2:5" x14ac:dyDescent="0.2">
      <c r="B817" s="221"/>
      <c r="C817" s="221"/>
      <c r="D817" s="221"/>
      <c r="E817" s="221"/>
    </row>
    <row r="818" spans="2:5" x14ac:dyDescent="0.2">
      <c r="B818" s="221"/>
      <c r="C818" s="221"/>
      <c r="D818" s="221"/>
      <c r="E818" s="221"/>
    </row>
    <row r="819" spans="2:5" x14ac:dyDescent="0.2">
      <c r="B819" s="221"/>
      <c r="C819" s="221"/>
      <c r="D819" s="221"/>
      <c r="E819" s="221"/>
    </row>
    <row r="820" spans="2:5" x14ac:dyDescent="0.2">
      <c r="B820" s="221"/>
      <c r="C820" s="221"/>
      <c r="D820" s="221"/>
      <c r="E820" s="221"/>
    </row>
    <row r="821" spans="2:5" x14ac:dyDescent="0.2">
      <c r="B821" s="221"/>
      <c r="C821" s="221"/>
      <c r="D821" s="221"/>
      <c r="E821" s="221"/>
    </row>
    <row r="822" spans="2:5" x14ac:dyDescent="0.2">
      <c r="B822" s="221"/>
      <c r="C822" s="221"/>
      <c r="D822" s="221"/>
      <c r="E822" s="221"/>
    </row>
    <row r="823" spans="2:5" x14ac:dyDescent="0.2">
      <c r="B823" s="221"/>
      <c r="C823" s="221"/>
      <c r="D823" s="221"/>
      <c r="E823" s="221"/>
    </row>
    <row r="824" spans="2:5" x14ac:dyDescent="0.2">
      <c r="B824" s="221"/>
      <c r="C824" s="221"/>
      <c r="D824" s="221"/>
      <c r="E824" s="221"/>
    </row>
    <row r="825" spans="2:5" x14ac:dyDescent="0.2">
      <c r="B825" s="221"/>
      <c r="C825" s="221"/>
      <c r="D825" s="221"/>
      <c r="E825" s="221"/>
    </row>
    <row r="826" spans="2:5" x14ac:dyDescent="0.2">
      <c r="B826" s="221"/>
      <c r="C826" s="221"/>
      <c r="D826" s="221"/>
      <c r="E826" s="221"/>
    </row>
    <row r="827" spans="2:5" x14ac:dyDescent="0.2">
      <c r="B827" s="221"/>
      <c r="C827" s="221"/>
      <c r="D827" s="221"/>
      <c r="E827" s="221"/>
    </row>
    <row r="828" spans="2:5" x14ac:dyDescent="0.2">
      <c r="B828" s="221"/>
      <c r="C828" s="221"/>
      <c r="D828" s="221"/>
      <c r="E828" s="221"/>
    </row>
    <row r="829" spans="2:5" x14ac:dyDescent="0.2">
      <c r="B829" s="221"/>
      <c r="C829" s="221"/>
      <c r="D829" s="221"/>
      <c r="E829" s="221"/>
    </row>
    <row r="830" spans="2:5" x14ac:dyDescent="0.2">
      <c r="B830" s="221"/>
      <c r="C830" s="221"/>
      <c r="D830" s="221"/>
      <c r="E830" s="221"/>
    </row>
    <row r="831" spans="2:5" x14ac:dyDescent="0.2">
      <c r="B831" s="221"/>
      <c r="C831" s="221"/>
      <c r="D831" s="221"/>
      <c r="E831" s="221"/>
    </row>
    <row r="832" spans="2:5" x14ac:dyDescent="0.2">
      <c r="B832" s="221"/>
      <c r="C832" s="221"/>
      <c r="D832" s="221"/>
      <c r="E832" s="221"/>
    </row>
    <row r="833" spans="2:5" x14ac:dyDescent="0.2">
      <c r="B833" s="221"/>
      <c r="C833" s="221"/>
      <c r="D833" s="221"/>
      <c r="E833" s="221"/>
    </row>
    <row r="834" spans="2:5" x14ac:dyDescent="0.2">
      <c r="B834" s="221"/>
      <c r="C834" s="221"/>
      <c r="D834" s="221"/>
      <c r="E834" s="221"/>
    </row>
    <row r="835" spans="2:5" x14ac:dyDescent="0.2">
      <c r="B835" s="221"/>
      <c r="C835" s="221"/>
      <c r="D835" s="221"/>
      <c r="E835" s="221"/>
    </row>
    <row r="836" spans="2:5" x14ac:dyDescent="0.2">
      <c r="B836" s="221"/>
      <c r="C836" s="221"/>
      <c r="D836" s="221"/>
      <c r="E836" s="221"/>
    </row>
    <row r="837" spans="2:5" x14ac:dyDescent="0.2">
      <c r="B837" s="221"/>
      <c r="C837" s="221"/>
      <c r="D837" s="221"/>
      <c r="E837" s="221"/>
    </row>
    <row r="838" spans="2:5" x14ac:dyDescent="0.2">
      <c r="B838" s="221"/>
      <c r="C838" s="221"/>
      <c r="D838" s="221"/>
      <c r="E838" s="221"/>
    </row>
    <row r="839" spans="2:5" x14ac:dyDescent="0.2">
      <c r="B839" s="221"/>
      <c r="C839" s="221"/>
      <c r="D839" s="221"/>
      <c r="E839" s="221"/>
    </row>
    <row r="840" spans="2:5" x14ac:dyDescent="0.2">
      <c r="B840" s="221"/>
      <c r="C840" s="221"/>
      <c r="D840" s="221"/>
      <c r="E840" s="221"/>
    </row>
    <row r="841" spans="2:5" x14ac:dyDescent="0.2">
      <c r="B841" s="221"/>
      <c r="C841" s="221"/>
      <c r="D841" s="221"/>
      <c r="E841" s="221"/>
    </row>
    <row r="842" spans="2:5" x14ac:dyDescent="0.2">
      <c r="B842" s="221"/>
      <c r="C842" s="221"/>
      <c r="D842" s="221"/>
      <c r="E842" s="221"/>
    </row>
    <row r="843" spans="2:5" x14ac:dyDescent="0.2">
      <c r="B843" s="221"/>
      <c r="C843" s="221"/>
      <c r="D843" s="221"/>
      <c r="E843" s="221"/>
    </row>
    <row r="844" spans="2:5" x14ac:dyDescent="0.2">
      <c r="B844" s="221"/>
      <c r="C844" s="221"/>
      <c r="D844" s="221"/>
      <c r="E844" s="221"/>
    </row>
    <row r="845" spans="2:5" x14ac:dyDescent="0.2">
      <c r="B845" s="221"/>
      <c r="C845" s="221"/>
      <c r="D845" s="221"/>
      <c r="E845" s="221"/>
    </row>
    <row r="846" spans="2:5" x14ac:dyDescent="0.2">
      <c r="B846" s="221"/>
      <c r="C846" s="221"/>
      <c r="D846" s="221"/>
      <c r="E846" s="221"/>
    </row>
    <row r="847" spans="2:5" x14ac:dyDescent="0.2">
      <c r="B847" s="221"/>
      <c r="C847" s="221"/>
      <c r="D847" s="221"/>
      <c r="E847" s="221"/>
    </row>
    <row r="848" spans="2:5" x14ac:dyDescent="0.2">
      <c r="B848" s="221"/>
      <c r="C848" s="221"/>
      <c r="D848" s="221"/>
      <c r="E848" s="221"/>
    </row>
    <row r="849" spans="2:5" x14ac:dyDescent="0.2">
      <c r="B849" s="221"/>
      <c r="C849" s="221"/>
      <c r="D849" s="221"/>
      <c r="E849" s="221"/>
    </row>
    <row r="850" spans="2:5" x14ac:dyDescent="0.2">
      <c r="B850" s="221"/>
      <c r="C850" s="221"/>
      <c r="D850" s="221"/>
      <c r="E850" s="221"/>
    </row>
    <row r="851" spans="2:5" x14ac:dyDescent="0.2">
      <c r="B851" s="221"/>
      <c r="C851" s="221"/>
      <c r="D851" s="221"/>
      <c r="E851" s="221"/>
    </row>
    <row r="852" spans="2:5" x14ac:dyDescent="0.2">
      <c r="B852" s="221"/>
      <c r="C852" s="221"/>
      <c r="D852" s="221"/>
      <c r="E852" s="221"/>
    </row>
    <row r="853" spans="2:5" x14ac:dyDescent="0.2">
      <c r="B853" s="221"/>
      <c r="C853" s="221"/>
      <c r="D853" s="221"/>
      <c r="E853" s="221"/>
    </row>
    <row r="854" spans="2:5" x14ac:dyDescent="0.2">
      <c r="B854" s="221"/>
      <c r="C854" s="221"/>
      <c r="D854" s="221"/>
      <c r="E854" s="221"/>
    </row>
    <row r="855" spans="2:5" x14ac:dyDescent="0.2">
      <c r="B855" s="221"/>
      <c r="C855" s="221"/>
      <c r="D855" s="221"/>
      <c r="E855" s="221"/>
    </row>
    <row r="856" spans="2:5" x14ac:dyDescent="0.2">
      <c r="B856" s="221"/>
      <c r="C856" s="221"/>
      <c r="D856" s="221"/>
      <c r="E856" s="221"/>
    </row>
    <row r="857" spans="2:5" x14ac:dyDescent="0.2">
      <c r="B857" s="221"/>
      <c r="C857" s="221"/>
      <c r="D857" s="221"/>
      <c r="E857" s="221"/>
    </row>
    <row r="858" spans="2:5" x14ac:dyDescent="0.2">
      <c r="B858" s="221"/>
      <c r="C858" s="221"/>
      <c r="D858" s="221"/>
      <c r="E858" s="221"/>
    </row>
    <row r="859" spans="2:5" x14ac:dyDescent="0.2">
      <c r="B859" s="221"/>
      <c r="C859" s="221"/>
      <c r="D859" s="221"/>
      <c r="E859" s="221"/>
    </row>
    <row r="860" spans="2:5" x14ac:dyDescent="0.2">
      <c r="B860" s="221"/>
      <c r="C860" s="221"/>
      <c r="D860" s="221"/>
      <c r="E860" s="221"/>
    </row>
    <row r="861" spans="2:5" x14ac:dyDescent="0.2">
      <c r="B861" s="221"/>
      <c r="C861" s="221"/>
      <c r="D861" s="221"/>
      <c r="E861" s="221"/>
    </row>
    <row r="862" spans="2:5" x14ac:dyDescent="0.2">
      <c r="B862" s="221"/>
      <c r="C862" s="221"/>
      <c r="D862" s="221"/>
      <c r="E862" s="221"/>
    </row>
    <row r="863" spans="2:5" x14ac:dyDescent="0.2">
      <c r="B863" s="221"/>
      <c r="C863" s="221"/>
      <c r="D863" s="221"/>
      <c r="E863" s="221"/>
    </row>
    <row r="864" spans="2:5" x14ac:dyDescent="0.2">
      <c r="B864" s="221"/>
      <c r="C864" s="221"/>
      <c r="D864" s="221"/>
      <c r="E864" s="221"/>
    </row>
    <row r="865" spans="2:5" x14ac:dyDescent="0.2">
      <c r="B865" s="221"/>
      <c r="C865" s="221"/>
      <c r="D865" s="221"/>
      <c r="E865" s="221"/>
    </row>
    <row r="866" spans="2:5" x14ac:dyDescent="0.2">
      <c r="B866" s="221"/>
      <c r="C866" s="221"/>
      <c r="D866" s="221"/>
      <c r="E866" s="221"/>
    </row>
    <row r="867" spans="2:5" x14ac:dyDescent="0.2">
      <c r="B867" s="221"/>
      <c r="C867" s="221"/>
      <c r="D867" s="221"/>
      <c r="E867" s="221"/>
    </row>
    <row r="868" spans="2:5" x14ac:dyDescent="0.2">
      <c r="B868" s="221"/>
      <c r="C868" s="221"/>
      <c r="D868" s="221"/>
      <c r="E868" s="221"/>
    </row>
    <row r="869" spans="2:5" x14ac:dyDescent="0.2">
      <c r="B869" s="221"/>
      <c r="C869" s="221"/>
      <c r="D869" s="221"/>
      <c r="E869" s="221"/>
    </row>
    <row r="870" spans="2:5" x14ac:dyDescent="0.2">
      <c r="B870" s="221"/>
      <c r="C870" s="221"/>
      <c r="D870" s="221"/>
      <c r="E870" s="221"/>
    </row>
    <row r="871" spans="2:5" x14ac:dyDescent="0.2">
      <c r="B871" s="221"/>
      <c r="C871" s="221"/>
      <c r="D871" s="221"/>
      <c r="E871" s="221"/>
    </row>
    <row r="872" spans="2:5" x14ac:dyDescent="0.2">
      <c r="B872" s="221"/>
      <c r="C872" s="221"/>
      <c r="D872" s="221"/>
      <c r="E872" s="221"/>
    </row>
    <row r="873" spans="2:5" x14ac:dyDescent="0.2">
      <c r="B873" s="221"/>
      <c r="C873" s="221"/>
      <c r="D873" s="221"/>
      <c r="E873" s="221"/>
    </row>
    <row r="874" spans="2:5" x14ac:dyDescent="0.2">
      <c r="B874" s="221"/>
      <c r="C874" s="221"/>
      <c r="D874" s="221"/>
      <c r="E874" s="221"/>
    </row>
    <row r="875" spans="2:5" x14ac:dyDescent="0.2">
      <c r="B875" s="221"/>
      <c r="C875" s="221"/>
      <c r="D875" s="221"/>
      <c r="E875" s="221"/>
    </row>
    <row r="876" spans="2:5" x14ac:dyDescent="0.2">
      <c r="B876" s="221"/>
      <c r="C876" s="221"/>
      <c r="D876" s="221"/>
      <c r="E876" s="221"/>
    </row>
    <row r="877" spans="2:5" x14ac:dyDescent="0.2">
      <c r="B877" s="221"/>
      <c r="C877" s="221"/>
      <c r="D877" s="221"/>
      <c r="E877" s="221"/>
    </row>
    <row r="878" spans="2:5" x14ac:dyDescent="0.2">
      <c r="B878" s="221"/>
      <c r="C878" s="221"/>
      <c r="D878" s="221"/>
      <c r="E878" s="221"/>
    </row>
    <row r="879" spans="2:5" x14ac:dyDescent="0.2">
      <c r="B879" s="221"/>
      <c r="C879" s="221"/>
      <c r="D879" s="221"/>
      <c r="E879" s="221"/>
    </row>
    <row r="880" spans="2:5" x14ac:dyDescent="0.2">
      <c r="B880" s="221"/>
      <c r="C880" s="221"/>
      <c r="D880" s="221"/>
      <c r="E880" s="221"/>
    </row>
    <row r="881" spans="2:5" x14ac:dyDescent="0.2">
      <c r="B881" s="221"/>
      <c r="C881" s="221"/>
      <c r="D881" s="221"/>
      <c r="E881" s="221"/>
    </row>
    <row r="882" spans="2:5" x14ac:dyDescent="0.2">
      <c r="B882" s="221"/>
      <c r="C882" s="221"/>
      <c r="D882" s="221"/>
      <c r="E882" s="221"/>
    </row>
    <row r="883" spans="2:5" x14ac:dyDescent="0.2">
      <c r="B883" s="221"/>
      <c r="C883" s="221"/>
      <c r="D883" s="221"/>
      <c r="E883" s="221"/>
    </row>
    <row r="884" spans="2:5" x14ac:dyDescent="0.2">
      <c r="B884" s="221"/>
      <c r="C884" s="221"/>
      <c r="D884" s="221"/>
      <c r="E884" s="221"/>
    </row>
    <row r="885" spans="2:5" x14ac:dyDescent="0.2">
      <c r="B885" s="221"/>
      <c r="C885" s="221"/>
      <c r="D885" s="221"/>
      <c r="E885" s="221"/>
    </row>
    <row r="886" spans="2:5" x14ac:dyDescent="0.2">
      <c r="B886" s="221"/>
      <c r="C886" s="221"/>
      <c r="D886" s="221"/>
      <c r="E886" s="221"/>
    </row>
    <row r="887" spans="2:5" x14ac:dyDescent="0.2">
      <c r="B887" s="221"/>
      <c r="C887" s="221"/>
      <c r="D887" s="221"/>
      <c r="E887" s="221"/>
    </row>
    <row r="888" spans="2:5" x14ac:dyDescent="0.2">
      <c r="B888" s="221"/>
      <c r="C888" s="221"/>
      <c r="D888" s="221"/>
      <c r="E888" s="221"/>
    </row>
    <row r="889" spans="2:5" x14ac:dyDescent="0.2">
      <c r="B889" s="221"/>
      <c r="C889" s="221"/>
      <c r="D889" s="221"/>
      <c r="E889" s="221"/>
    </row>
    <row r="890" spans="2:5" x14ac:dyDescent="0.2">
      <c r="B890" s="221"/>
      <c r="C890" s="221"/>
      <c r="D890" s="221"/>
      <c r="E890" s="221"/>
    </row>
    <row r="891" spans="2:5" x14ac:dyDescent="0.2">
      <c r="B891" s="221"/>
      <c r="C891" s="221"/>
      <c r="D891" s="221"/>
      <c r="E891" s="221"/>
    </row>
    <row r="892" spans="2:5" x14ac:dyDescent="0.2">
      <c r="B892" s="221"/>
      <c r="C892" s="221"/>
      <c r="D892" s="221"/>
      <c r="E892" s="221"/>
    </row>
    <row r="893" spans="2:5" x14ac:dyDescent="0.2">
      <c r="B893" s="221"/>
      <c r="C893" s="221"/>
      <c r="D893" s="221"/>
      <c r="E893" s="221"/>
    </row>
    <row r="894" spans="2:5" x14ac:dyDescent="0.2">
      <c r="B894" s="221"/>
      <c r="C894" s="221"/>
      <c r="D894" s="221"/>
      <c r="E894" s="221"/>
    </row>
    <row r="895" spans="2:5" x14ac:dyDescent="0.2">
      <c r="B895" s="221"/>
      <c r="C895" s="221"/>
      <c r="D895" s="221"/>
      <c r="E895" s="221"/>
    </row>
    <row r="896" spans="2:5" x14ac:dyDescent="0.2">
      <c r="B896" s="221"/>
      <c r="C896" s="221"/>
      <c r="D896" s="221"/>
      <c r="E896" s="221"/>
    </row>
    <row r="897" spans="2:5" x14ac:dyDescent="0.2">
      <c r="B897" s="221"/>
      <c r="C897" s="221"/>
      <c r="D897" s="221"/>
      <c r="E897" s="221"/>
    </row>
    <row r="898" spans="2:5" x14ac:dyDescent="0.2">
      <c r="B898" s="221"/>
      <c r="C898" s="221"/>
      <c r="D898" s="221"/>
      <c r="E898" s="221"/>
    </row>
    <row r="899" spans="2:5" x14ac:dyDescent="0.2">
      <c r="B899" s="221"/>
      <c r="C899" s="221"/>
      <c r="D899" s="221"/>
      <c r="E899" s="221"/>
    </row>
    <row r="900" spans="2:5" x14ac:dyDescent="0.2">
      <c r="B900" s="221"/>
      <c r="C900" s="221"/>
      <c r="D900" s="221"/>
      <c r="E900" s="221"/>
    </row>
    <row r="901" spans="2:5" x14ac:dyDescent="0.2">
      <c r="B901" s="221"/>
      <c r="C901" s="221"/>
      <c r="D901" s="221"/>
      <c r="E901" s="221"/>
    </row>
    <row r="902" spans="2:5" x14ac:dyDescent="0.2">
      <c r="B902" s="221"/>
      <c r="C902" s="221"/>
      <c r="D902" s="221"/>
      <c r="E902" s="221"/>
    </row>
    <row r="903" spans="2:5" x14ac:dyDescent="0.2">
      <c r="B903" s="221"/>
      <c r="C903" s="221"/>
      <c r="D903" s="221"/>
      <c r="E903" s="221"/>
    </row>
    <row r="904" spans="2:5" x14ac:dyDescent="0.2">
      <c r="B904" s="221"/>
      <c r="C904" s="221"/>
      <c r="D904" s="221"/>
      <c r="E904" s="221"/>
    </row>
    <row r="905" spans="2:5" x14ac:dyDescent="0.2">
      <c r="B905" s="221"/>
      <c r="C905" s="221"/>
      <c r="D905" s="221"/>
      <c r="E905" s="221"/>
    </row>
    <row r="906" spans="2:5" x14ac:dyDescent="0.2">
      <c r="B906" s="221"/>
      <c r="C906" s="221"/>
      <c r="D906" s="221"/>
      <c r="E906" s="221"/>
    </row>
    <row r="907" spans="2:5" x14ac:dyDescent="0.2">
      <c r="B907" s="221"/>
      <c r="C907" s="221"/>
      <c r="D907" s="221"/>
      <c r="E907" s="221"/>
    </row>
    <row r="908" spans="2:5" x14ac:dyDescent="0.2">
      <c r="B908" s="221"/>
      <c r="C908" s="221"/>
      <c r="D908" s="221"/>
      <c r="E908" s="221"/>
    </row>
    <row r="909" spans="2:5" x14ac:dyDescent="0.2">
      <c r="B909" s="221"/>
      <c r="C909" s="221"/>
      <c r="D909" s="221"/>
      <c r="E909" s="221"/>
    </row>
    <row r="910" spans="2:5" x14ac:dyDescent="0.2">
      <c r="B910" s="221"/>
      <c r="C910" s="221"/>
      <c r="D910" s="221"/>
      <c r="E910" s="221"/>
    </row>
    <row r="911" spans="2:5" x14ac:dyDescent="0.2">
      <c r="B911" s="221"/>
      <c r="C911" s="221"/>
      <c r="D911" s="221"/>
      <c r="E911" s="221"/>
    </row>
    <row r="912" spans="2:5" x14ac:dyDescent="0.2">
      <c r="B912" s="221"/>
      <c r="C912" s="221"/>
      <c r="D912" s="221"/>
      <c r="E912" s="221"/>
    </row>
    <row r="913" spans="2:5" x14ac:dyDescent="0.2">
      <c r="B913" s="221"/>
      <c r="C913" s="221"/>
      <c r="D913" s="221"/>
      <c r="E913" s="221"/>
    </row>
    <row r="914" spans="2:5" x14ac:dyDescent="0.2">
      <c r="B914" s="221"/>
      <c r="C914" s="221"/>
      <c r="D914" s="221"/>
      <c r="E914" s="221"/>
    </row>
    <row r="915" spans="2:5" x14ac:dyDescent="0.2">
      <c r="B915" s="221"/>
      <c r="C915" s="221"/>
      <c r="D915" s="221"/>
      <c r="E915" s="221"/>
    </row>
    <row r="916" spans="2:5" x14ac:dyDescent="0.2">
      <c r="B916" s="221"/>
      <c r="C916" s="221"/>
      <c r="D916" s="221"/>
      <c r="E916" s="221"/>
    </row>
    <row r="917" spans="2:5" x14ac:dyDescent="0.2">
      <c r="B917" s="221"/>
      <c r="C917" s="221"/>
      <c r="D917" s="221"/>
      <c r="E917" s="221"/>
    </row>
    <row r="918" spans="2:5" x14ac:dyDescent="0.2">
      <c r="B918" s="221"/>
      <c r="C918" s="221"/>
      <c r="D918" s="221"/>
      <c r="E918" s="221"/>
    </row>
    <row r="919" spans="2:5" x14ac:dyDescent="0.2">
      <c r="B919" s="221"/>
      <c r="C919" s="221"/>
      <c r="D919" s="221"/>
      <c r="E919" s="221"/>
    </row>
    <row r="920" spans="2:5" x14ac:dyDescent="0.2">
      <c r="B920" s="221"/>
      <c r="C920" s="221"/>
      <c r="D920" s="221"/>
      <c r="E920" s="221"/>
    </row>
    <row r="921" spans="2:5" x14ac:dyDescent="0.2">
      <c r="B921" s="221"/>
      <c r="C921" s="221"/>
      <c r="D921" s="221"/>
      <c r="E921" s="221"/>
    </row>
    <row r="922" spans="2:5" x14ac:dyDescent="0.2">
      <c r="B922" s="221"/>
      <c r="C922" s="221"/>
      <c r="D922" s="221"/>
      <c r="E922" s="221"/>
    </row>
    <row r="923" spans="2:5" x14ac:dyDescent="0.2">
      <c r="B923" s="221"/>
      <c r="C923" s="221"/>
      <c r="D923" s="221"/>
      <c r="E923" s="221"/>
    </row>
    <row r="924" spans="2:5" x14ac:dyDescent="0.2">
      <c r="B924" s="221"/>
      <c r="C924" s="221"/>
      <c r="D924" s="221"/>
      <c r="E924" s="221"/>
    </row>
    <row r="925" spans="2:5" x14ac:dyDescent="0.2">
      <c r="B925" s="221"/>
      <c r="C925" s="221"/>
      <c r="D925" s="221"/>
      <c r="E925" s="221"/>
    </row>
    <row r="926" spans="2:5" x14ac:dyDescent="0.2">
      <c r="B926" s="221"/>
      <c r="C926" s="221"/>
      <c r="D926" s="221"/>
      <c r="E926" s="221"/>
    </row>
    <row r="927" spans="2:5" x14ac:dyDescent="0.2">
      <c r="B927" s="221"/>
      <c r="C927" s="221"/>
      <c r="D927" s="221"/>
      <c r="E927" s="221"/>
    </row>
    <row r="928" spans="2:5" x14ac:dyDescent="0.2">
      <c r="B928" s="221"/>
      <c r="C928" s="221"/>
      <c r="D928" s="221"/>
      <c r="E928" s="221"/>
    </row>
    <row r="929" spans="2:5" x14ac:dyDescent="0.2">
      <c r="B929" s="221"/>
      <c r="C929" s="221"/>
      <c r="D929" s="221"/>
      <c r="E929" s="221"/>
    </row>
    <row r="930" spans="2:5" x14ac:dyDescent="0.2">
      <c r="B930" s="221"/>
      <c r="C930" s="221"/>
      <c r="D930" s="221"/>
      <c r="E930" s="221"/>
    </row>
    <row r="931" spans="2:5" x14ac:dyDescent="0.2">
      <c r="B931" s="221"/>
      <c r="C931" s="221"/>
      <c r="D931" s="221"/>
      <c r="E931" s="221"/>
    </row>
    <row r="932" spans="2:5" x14ac:dyDescent="0.2">
      <c r="B932" s="221"/>
      <c r="C932" s="221"/>
      <c r="D932" s="221"/>
      <c r="E932" s="221"/>
    </row>
    <row r="933" spans="2:5" x14ac:dyDescent="0.2">
      <c r="B933" s="221"/>
      <c r="C933" s="221"/>
      <c r="D933" s="221"/>
      <c r="E933" s="221"/>
    </row>
    <row r="934" spans="2:5" x14ac:dyDescent="0.2">
      <c r="B934" s="221"/>
      <c r="C934" s="221"/>
      <c r="D934" s="221"/>
      <c r="E934" s="221"/>
    </row>
    <row r="935" spans="2:5" x14ac:dyDescent="0.2">
      <c r="B935" s="221"/>
      <c r="C935" s="221"/>
      <c r="D935" s="221"/>
      <c r="E935" s="221"/>
    </row>
    <row r="936" spans="2:5" x14ac:dyDescent="0.2">
      <c r="B936" s="221"/>
      <c r="C936" s="221"/>
      <c r="D936" s="221"/>
      <c r="E936" s="221"/>
    </row>
    <row r="937" spans="2:5" x14ac:dyDescent="0.2">
      <c r="B937" s="221"/>
      <c r="C937" s="221"/>
      <c r="D937" s="221"/>
      <c r="E937" s="221"/>
    </row>
    <row r="938" spans="2:5" x14ac:dyDescent="0.2">
      <c r="B938" s="221"/>
      <c r="C938" s="221"/>
      <c r="D938" s="221"/>
      <c r="E938" s="221"/>
    </row>
    <row r="939" spans="2:5" x14ac:dyDescent="0.2">
      <c r="B939" s="221"/>
      <c r="C939" s="221"/>
      <c r="D939" s="221"/>
      <c r="E939" s="221"/>
    </row>
    <row r="940" spans="2:5" x14ac:dyDescent="0.2">
      <c r="B940" s="221"/>
      <c r="C940" s="221"/>
      <c r="D940" s="221"/>
      <c r="E940" s="221"/>
    </row>
    <row r="941" spans="2:5" x14ac:dyDescent="0.2">
      <c r="B941" s="221"/>
      <c r="C941" s="221"/>
      <c r="D941" s="221"/>
      <c r="E941" s="221"/>
    </row>
    <row r="942" spans="2:5" x14ac:dyDescent="0.2">
      <c r="B942" s="221"/>
      <c r="C942" s="221"/>
      <c r="D942" s="221"/>
      <c r="E942" s="221"/>
    </row>
    <row r="943" spans="2:5" x14ac:dyDescent="0.2">
      <c r="B943" s="221"/>
      <c r="C943" s="221"/>
      <c r="D943" s="221"/>
      <c r="E943" s="221"/>
    </row>
    <row r="944" spans="2:5" x14ac:dyDescent="0.2">
      <c r="B944" s="221"/>
      <c r="C944" s="221"/>
      <c r="D944" s="221"/>
      <c r="E944" s="221"/>
    </row>
    <row r="945" spans="2:5" x14ac:dyDescent="0.2">
      <c r="B945" s="221"/>
      <c r="C945" s="221"/>
      <c r="D945" s="221"/>
      <c r="E945" s="221"/>
    </row>
    <row r="946" spans="2:5" x14ac:dyDescent="0.2">
      <c r="B946" s="221"/>
      <c r="C946" s="221"/>
      <c r="D946" s="221"/>
      <c r="E946" s="221"/>
    </row>
    <row r="947" spans="2:5" x14ac:dyDescent="0.2">
      <c r="B947" s="221"/>
      <c r="C947" s="221"/>
      <c r="D947" s="221"/>
      <c r="E947" s="221"/>
    </row>
    <row r="948" spans="2:5" x14ac:dyDescent="0.2">
      <c r="B948" s="221"/>
      <c r="C948" s="221"/>
      <c r="D948" s="221"/>
      <c r="E948" s="221"/>
    </row>
    <row r="949" spans="2:5" x14ac:dyDescent="0.2">
      <c r="B949" s="221"/>
      <c r="C949" s="221"/>
      <c r="D949" s="221"/>
      <c r="E949" s="221"/>
    </row>
    <row r="950" spans="2:5" x14ac:dyDescent="0.2">
      <c r="B950" s="221"/>
      <c r="C950" s="221"/>
      <c r="D950" s="221"/>
      <c r="E950" s="221"/>
    </row>
    <row r="951" spans="2:5" x14ac:dyDescent="0.2">
      <c r="B951" s="221"/>
      <c r="C951" s="221"/>
      <c r="D951" s="221"/>
      <c r="E951" s="221"/>
    </row>
    <row r="952" spans="2:5" x14ac:dyDescent="0.2">
      <c r="B952" s="221"/>
      <c r="C952" s="221"/>
      <c r="D952" s="221"/>
      <c r="E952" s="221"/>
    </row>
    <row r="953" spans="2:5" x14ac:dyDescent="0.2">
      <c r="B953" s="221"/>
      <c r="C953" s="221"/>
      <c r="D953" s="221"/>
      <c r="E953" s="221"/>
    </row>
    <row r="954" spans="2:5" x14ac:dyDescent="0.2">
      <c r="B954" s="221"/>
      <c r="C954" s="221"/>
      <c r="D954" s="221"/>
      <c r="E954" s="221"/>
    </row>
    <row r="955" spans="2:5" x14ac:dyDescent="0.2">
      <c r="B955" s="221"/>
      <c r="C955" s="221"/>
      <c r="D955" s="221"/>
      <c r="E955" s="221"/>
    </row>
    <row r="956" spans="2:5" x14ac:dyDescent="0.2">
      <c r="B956" s="221"/>
      <c r="C956" s="221"/>
      <c r="D956" s="221"/>
      <c r="E956" s="221"/>
    </row>
    <row r="957" spans="2:5" x14ac:dyDescent="0.2">
      <c r="B957" s="221"/>
      <c r="C957" s="221"/>
      <c r="D957" s="221"/>
      <c r="E957" s="221"/>
    </row>
    <row r="958" spans="2:5" x14ac:dyDescent="0.2">
      <c r="B958" s="221"/>
      <c r="C958" s="221"/>
      <c r="D958" s="221"/>
      <c r="E958" s="221"/>
    </row>
    <row r="959" spans="2:5" x14ac:dyDescent="0.2">
      <c r="B959" s="221"/>
      <c r="C959" s="221"/>
      <c r="D959" s="221"/>
      <c r="E959" s="221"/>
    </row>
    <row r="960" spans="2:5" x14ac:dyDescent="0.2">
      <c r="B960" s="221"/>
      <c r="C960" s="221"/>
      <c r="D960" s="221"/>
      <c r="E960" s="221"/>
    </row>
    <row r="961" spans="2:5" x14ac:dyDescent="0.2">
      <c r="B961" s="221"/>
      <c r="C961" s="221"/>
      <c r="D961" s="221"/>
      <c r="E961" s="221"/>
    </row>
    <row r="962" spans="2:5" x14ac:dyDescent="0.2">
      <c r="B962" s="221"/>
      <c r="C962" s="221"/>
      <c r="D962" s="221"/>
      <c r="E962" s="221"/>
    </row>
    <row r="963" spans="2:5" x14ac:dyDescent="0.2">
      <c r="B963" s="221"/>
      <c r="C963" s="221"/>
      <c r="D963" s="221"/>
      <c r="E963" s="221"/>
    </row>
    <row r="964" spans="2:5" x14ac:dyDescent="0.2">
      <c r="B964" s="221"/>
      <c r="C964" s="221"/>
      <c r="D964" s="221"/>
      <c r="E964" s="221"/>
    </row>
    <row r="965" spans="2:5" x14ac:dyDescent="0.2">
      <c r="B965" s="221"/>
      <c r="C965" s="221"/>
      <c r="D965" s="221"/>
      <c r="E965" s="221"/>
    </row>
    <row r="966" spans="2:5" x14ac:dyDescent="0.2">
      <c r="B966" s="221"/>
      <c r="C966" s="221"/>
      <c r="D966" s="221"/>
      <c r="E966" s="221"/>
    </row>
    <row r="967" spans="2:5" x14ac:dyDescent="0.2">
      <c r="B967" s="221"/>
      <c r="C967" s="221"/>
      <c r="D967" s="221"/>
      <c r="E967" s="221"/>
    </row>
    <row r="968" spans="2:5" x14ac:dyDescent="0.2">
      <c r="B968" s="221"/>
      <c r="C968" s="221"/>
      <c r="D968" s="221"/>
      <c r="E968" s="221"/>
    </row>
    <row r="969" spans="2:5" x14ac:dyDescent="0.2">
      <c r="B969" s="221"/>
      <c r="C969" s="221"/>
      <c r="D969" s="221"/>
      <c r="E969" s="221"/>
    </row>
    <row r="970" spans="2:5" x14ac:dyDescent="0.2">
      <c r="B970" s="221"/>
      <c r="C970" s="221"/>
      <c r="D970" s="221"/>
      <c r="E970" s="221"/>
    </row>
    <row r="971" spans="2:5" x14ac:dyDescent="0.2">
      <c r="B971" s="221"/>
      <c r="C971" s="221"/>
      <c r="D971" s="221"/>
      <c r="E971" s="221"/>
    </row>
    <row r="972" spans="2:5" x14ac:dyDescent="0.2">
      <c r="B972" s="221"/>
      <c r="C972" s="221"/>
      <c r="D972" s="221"/>
      <c r="E972" s="221"/>
    </row>
    <row r="973" spans="2:5" x14ac:dyDescent="0.2">
      <c r="B973" s="221"/>
      <c r="C973" s="221"/>
      <c r="D973" s="221"/>
      <c r="E973" s="221"/>
    </row>
    <row r="974" spans="2:5" x14ac:dyDescent="0.2">
      <c r="B974" s="221"/>
      <c r="C974" s="221"/>
      <c r="D974" s="221"/>
      <c r="E974" s="221"/>
    </row>
    <row r="975" spans="2:5" x14ac:dyDescent="0.2">
      <c r="B975" s="221"/>
      <c r="C975" s="221"/>
      <c r="D975" s="221"/>
      <c r="E975" s="221"/>
    </row>
    <row r="976" spans="2:5" x14ac:dyDescent="0.2">
      <c r="B976" s="221"/>
      <c r="C976" s="221"/>
      <c r="D976" s="221"/>
      <c r="E976" s="221"/>
    </row>
    <row r="977" spans="2:5" x14ac:dyDescent="0.2">
      <c r="B977" s="221"/>
      <c r="C977" s="221"/>
      <c r="D977" s="221"/>
      <c r="E977" s="221"/>
    </row>
    <row r="978" spans="2:5" x14ac:dyDescent="0.2">
      <c r="B978" s="221"/>
      <c r="C978" s="221"/>
      <c r="D978" s="221"/>
      <c r="E978" s="221"/>
    </row>
    <row r="979" spans="2:5" x14ac:dyDescent="0.2">
      <c r="B979" s="221"/>
      <c r="C979" s="221"/>
      <c r="D979" s="221"/>
      <c r="E979" s="221"/>
    </row>
    <row r="980" spans="2:5" x14ac:dyDescent="0.2">
      <c r="B980" s="221"/>
      <c r="C980" s="221"/>
      <c r="D980" s="221"/>
      <c r="E980" s="221"/>
    </row>
    <row r="981" spans="2:5" x14ac:dyDescent="0.2">
      <c r="B981" s="221"/>
      <c r="C981" s="221"/>
      <c r="D981" s="221"/>
      <c r="E981" s="221"/>
    </row>
    <row r="982" spans="2:5" x14ac:dyDescent="0.2">
      <c r="B982" s="221"/>
      <c r="C982" s="221"/>
      <c r="D982" s="221"/>
      <c r="E982" s="221"/>
    </row>
    <row r="983" spans="2:5" x14ac:dyDescent="0.2">
      <c r="B983" s="221"/>
      <c r="C983" s="221"/>
      <c r="D983" s="221"/>
      <c r="E983" s="221"/>
    </row>
    <row r="984" spans="2:5" x14ac:dyDescent="0.2">
      <c r="B984" s="221"/>
      <c r="C984" s="221"/>
      <c r="D984" s="221"/>
      <c r="E984" s="221"/>
    </row>
    <row r="985" spans="2:5" x14ac:dyDescent="0.2">
      <c r="B985" s="221"/>
      <c r="C985" s="221"/>
      <c r="D985" s="221"/>
      <c r="E985" s="221"/>
    </row>
    <row r="986" spans="2:5" x14ac:dyDescent="0.2">
      <c r="B986" s="221"/>
      <c r="C986" s="221"/>
      <c r="D986" s="221"/>
      <c r="E986" s="221"/>
    </row>
    <row r="987" spans="2:5" x14ac:dyDescent="0.2">
      <c r="B987" s="221"/>
      <c r="C987" s="221"/>
      <c r="D987" s="221"/>
      <c r="E987" s="221"/>
    </row>
    <row r="988" spans="2:5" x14ac:dyDescent="0.2">
      <c r="B988" s="221"/>
      <c r="C988" s="221"/>
      <c r="D988" s="221"/>
      <c r="E988" s="221"/>
    </row>
    <row r="989" spans="2:5" x14ac:dyDescent="0.2">
      <c r="B989" s="221"/>
      <c r="C989" s="221"/>
      <c r="D989" s="221"/>
      <c r="E989" s="221"/>
    </row>
    <row r="990" spans="2:5" x14ac:dyDescent="0.2">
      <c r="B990" s="221"/>
      <c r="C990" s="221"/>
      <c r="D990" s="221"/>
      <c r="E990" s="221"/>
    </row>
    <row r="991" spans="2:5" x14ac:dyDescent="0.2">
      <c r="B991" s="221"/>
      <c r="C991" s="221"/>
      <c r="D991" s="221"/>
      <c r="E991" s="221"/>
    </row>
    <row r="992" spans="2:5" x14ac:dyDescent="0.2">
      <c r="B992" s="221"/>
      <c r="C992" s="221"/>
      <c r="D992" s="221"/>
      <c r="E992" s="221"/>
    </row>
    <row r="993" spans="2:5" x14ac:dyDescent="0.2">
      <c r="B993" s="221"/>
      <c r="C993" s="221"/>
      <c r="D993" s="221"/>
      <c r="E993" s="221"/>
    </row>
    <row r="994" spans="2:5" x14ac:dyDescent="0.2">
      <c r="B994" s="221"/>
      <c r="C994" s="221"/>
      <c r="D994" s="221"/>
      <c r="E994" s="221"/>
    </row>
    <row r="995" spans="2:5" x14ac:dyDescent="0.2">
      <c r="B995" s="221"/>
      <c r="C995" s="221"/>
      <c r="D995" s="221"/>
      <c r="E995" s="221"/>
    </row>
    <row r="996" spans="2:5" x14ac:dyDescent="0.2">
      <c r="B996" s="221"/>
      <c r="C996" s="221"/>
      <c r="D996" s="221"/>
      <c r="E996" s="221"/>
    </row>
    <row r="997" spans="2:5" x14ac:dyDescent="0.2">
      <c r="B997" s="221"/>
      <c r="C997" s="221"/>
      <c r="D997" s="221"/>
      <c r="E997" s="221"/>
    </row>
    <row r="998" spans="2:5" x14ac:dyDescent="0.2">
      <c r="B998" s="221"/>
      <c r="C998" s="221"/>
      <c r="D998" s="221"/>
      <c r="E998" s="221"/>
    </row>
    <row r="999" spans="2:5" x14ac:dyDescent="0.2">
      <c r="B999" s="221"/>
      <c r="C999" s="221"/>
      <c r="D999" s="221"/>
      <c r="E999" s="221"/>
    </row>
    <row r="1000" spans="2:5" x14ac:dyDescent="0.2">
      <c r="B1000" s="221"/>
      <c r="C1000" s="221"/>
      <c r="D1000" s="221"/>
      <c r="E1000" s="221"/>
    </row>
    <row r="1001" spans="2:5" x14ac:dyDescent="0.2">
      <c r="B1001" s="221"/>
      <c r="C1001" s="221"/>
      <c r="D1001" s="221"/>
      <c r="E1001" s="221"/>
    </row>
    <row r="1002" spans="2:5" x14ac:dyDescent="0.2">
      <c r="B1002" s="221"/>
      <c r="C1002" s="221"/>
      <c r="D1002" s="221"/>
      <c r="E1002" s="221"/>
    </row>
    <row r="1003" spans="2:5" x14ac:dyDescent="0.2">
      <c r="B1003" s="221"/>
      <c r="C1003" s="221"/>
      <c r="D1003" s="221"/>
      <c r="E1003" s="221"/>
    </row>
    <row r="1004" spans="2:5" x14ac:dyDescent="0.2">
      <c r="B1004" s="221"/>
      <c r="C1004" s="221"/>
      <c r="D1004" s="221"/>
      <c r="E1004" s="221"/>
    </row>
    <row r="1005" spans="2:5" x14ac:dyDescent="0.2">
      <c r="B1005" s="221"/>
      <c r="C1005" s="221"/>
      <c r="D1005" s="221"/>
      <c r="E1005" s="221"/>
    </row>
    <row r="1006" spans="2:5" x14ac:dyDescent="0.2">
      <c r="B1006" s="221"/>
      <c r="C1006" s="221"/>
      <c r="D1006" s="221"/>
      <c r="E1006" s="221"/>
    </row>
    <row r="1007" spans="2:5" x14ac:dyDescent="0.2">
      <c r="B1007" s="221"/>
      <c r="C1007" s="221"/>
      <c r="D1007" s="221"/>
      <c r="E1007" s="221"/>
    </row>
    <row r="1008" spans="2:5" x14ac:dyDescent="0.2">
      <c r="B1008" s="221"/>
      <c r="C1008" s="221"/>
      <c r="D1008" s="221"/>
      <c r="E1008" s="221"/>
    </row>
    <row r="1009" spans="2:5" x14ac:dyDescent="0.2">
      <c r="B1009" s="221"/>
      <c r="C1009" s="221"/>
      <c r="D1009" s="221"/>
      <c r="E1009" s="221"/>
    </row>
    <row r="1010" spans="2:5" x14ac:dyDescent="0.2">
      <c r="B1010" s="221"/>
      <c r="C1010" s="221"/>
      <c r="D1010" s="221"/>
      <c r="E1010" s="221"/>
    </row>
    <row r="1011" spans="2:5" x14ac:dyDescent="0.2">
      <c r="B1011" s="221"/>
      <c r="C1011" s="221"/>
      <c r="D1011" s="221"/>
      <c r="E1011" s="221"/>
    </row>
    <row r="1012" spans="2:5" x14ac:dyDescent="0.2">
      <c r="B1012" s="221"/>
      <c r="C1012" s="221"/>
      <c r="D1012" s="221"/>
      <c r="E1012" s="221"/>
    </row>
  </sheetData>
  <mergeCells count="2">
    <mergeCell ref="B3:F4"/>
    <mergeCell ref="B6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C1:AD987"/>
  <sheetViews>
    <sheetView workbookViewId="0"/>
  </sheetViews>
  <sheetFormatPr defaultColWidth="14.390625" defaultRowHeight="15" customHeight="1" x14ac:dyDescent="0.2"/>
  <cols>
    <col min="1" max="3" width="8.875" customWidth="1"/>
    <col min="4" max="4" width="11.296875" customWidth="1"/>
    <col min="5" max="6" width="8.875" customWidth="1"/>
    <col min="7" max="7" width="10.4921875" customWidth="1"/>
    <col min="8" max="8" width="13.1796875" customWidth="1"/>
    <col min="9" max="9" width="39.27734375" customWidth="1"/>
    <col min="10" max="10" width="9.55078125" customWidth="1"/>
    <col min="11" max="11" width="23.9453125" customWidth="1"/>
    <col min="12" max="12" width="11.02734375" customWidth="1"/>
    <col min="13" max="13" width="11.1640625" customWidth="1"/>
    <col min="14" max="14" width="12.375" customWidth="1"/>
    <col min="15" max="16" width="8.875" customWidth="1"/>
    <col min="17" max="17" width="9.68359375" customWidth="1"/>
    <col min="18" max="18" width="13.1796875" customWidth="1"/>
    <col min="19" max="19" width="17.484375" customWidth="1"/>
    <col min="20" max="20" width="13.85546875" customWidth="1"/>
    <col min="21" max="21" width="23.9453125" customWidth="1"/>
    <col min="22" max="22" width="12.23828125" customWidth="1"/>
    <col min="23" max="23" width="8.875" customWidth="1"/>
    <col min="24" max="24" width="10.4921875" customWidth="1"/>
    <col min="25" max="25" width="8.875" customWidth="1"/>
    <col min="26" max="26" width="15.33203125" customWidth="1"/>
    <col min="27" max="30" width="8.875" customWidth="1"/>
  </cols>
  <sheetData>
    <row r="1" spans="3:29" ht="30" customHeight="1" x14ac:dyDescent="0.3">
      <c r="C1" s="377" t="s">
        <v>592</v>
      </c>
      <c r="D1" s="378"/>
      <c r="E1" s="378"/>
      <c r="F1" s="378"/>
      <c r="G1" s="378"/>
      <c r="H1" s="378"/>
      <c r="I1" s="379"/>
      <c r="J1" s="115"/>
      <c r="K1" s="115"/>
      <c r="L1" s="115"/>
      <c r="M1" s="377" t="s">
        <v>593</v>
      </c>
      <c r="N1" s="378"/>
      <c r="O1" s="378"/>
      <c r="P1" s="378"/>
      <c r="Q1" s="378"/>
      <c r="R1" s="378"/>
      <c r="S1" s="379"/>
    </row>
    <row r="2" spans="3:29" x14ac:dyDescent="0.2">
      <c r="C2" s="253" t="s">
        <v>594</v>
      </c>
      <c r="F2" s="115"/>
      <c r="G2" s="115"/>
      <c r="I2" s="254"/>
      <c r="J2" s="115"/>
      <c r="K2" s="115"/>
      <c r="L2" s="115"/>
      <c r="M2" s="253" t="s">
        <v>595</v>
      </c>
      <c r="S2" s="254"/>
    </row>
    <row r="3" spans="3:29" x14ac:dyDescent="0.2">
      <c r="C3" s="253" t="s">
        <v>596</v>
      </c>
      <c r="F3" s="115"/>
      <c r="G3" s="373">
        <v>45986</v>
      </c>
      <c r="H3" s="368"/>
      <c r="I3" s="374"/>
      <c r="J3" s="115"/>
      <c r="K3" s="115"/>
      <c r="L3" s="115"/>
      <c r="M3" s="253" t="s">
        <v>596</v>
      </c>
      <c r="Q3" s="373">
        <v>45986</v>
      </c>
      <c r="R3" s="368"/>
      <c r="S3" s="374"/>
    </row>
    <row r="4" spans="3:29" x14ac:dyDescent="0.2">
      <c r="C4" s="253" t="s">
        <v>597</v>
      </c>
      <c r="F4" s="115"/>
      <c r="G4" s="380"/>
      <c r="H4" s="368"/>
      <c r="I4" s="374"/>
      <c r="J4" s="115"/>
      <c r="K4" s="238"/>
      <c r="L4" s="115"/>
      <c r="M4" s="253" t="s">
        <v>597</v>
      </c>
      <c r="Q4" s="380"/>
      <c r="R4" s="368"/>
      <c r="S4" s="374"/>
    </row>
    <row r="5" spans="3:29" ht="18" x14ac:dyDescent="0.25">
      <c r="C5" s="253"/>
      <c r="F5" s="115"/>
      <c r="G5" s="115"/>
      <c r="I5" s="254"/>
      <c r="J5" s="115"/>
      <c r="K5" s="238"/>
      <c r="L5" s="115"/>
      <c r="M5" s="253"/>
      <c r="S5" s="254"/>
      <c r="U5" s="381" t="s">
        <v>598</v>
      </c>
      <c r="V5" s="378"/>
      <c r="W5" s="378"/>
      <c r="X5" s="379"/>
      <c r="Z5" s="382"/>
      <c r="AA5" s="352"/>
      <c r="AB5" s="352"/>
      <c r="AC5" s="352"/>
    </row>
    <row r="6" spans="3:29" x14ac:dyDescent="0.2">
      <c r="C6" s="253" t="s">
        <v>599</v>
      </c>
      <c r="F6" s="115"/>
      <c r="G6" s="115"/>
      <c r="I6" s="255">
        <v>22196.240000000002</v>
      </c>
      <c r="J6" s="115"/>
      <c r="K6" s="115"/>
      <c r="L6" s="115"/>
      <c r="M6" s="253" t="s">
        <v>599</v>
      </c>
      <c r="S6" s="255">
        <v>3079.62</v>
      </c>
      <c r="U6" s="256" t="s">
        <v>441</v>
      </c>
      <c r="V6" s="256" t="s">
        <v>600</v>
      </c>
      <c r="W6" s="257" t="s">
        <v>445</v>
      </c>
      <c r="X6" s="258" t="s">
        <v>12</v>
      </c>
      <c r="Z6" s="118"/>
      <c r="AA6" s="118"/>
      <c r="AB6" s="259"/>
      <c r="AC6" s="260"/>
    </row>
    <row r="7" spans="3:29" x14ac:dyDescent="0.2">
      <c r="C7" s="253"/>
      <c r="F7" s="115"/>
      <c r="G7" s="115"/>
      <c r="I7" s="254"/>
      <c r="J7" s="115"/>
      <c r="K7" s="115"/>
      <c r="L7" s="115"/>
      <c r="M7" s="253"/>
      <c r="S7" s="254"/>
      <c r="U7" s="261"/>
      <c r="V7" s="261"/>
      <c r="W7" s="262"/>
      <c r="X7" s="263">
        <f t="shared" ref="X7:X22" si="0">(V7*W7)/2</f>
        <v>0</v>
      </c>
      <c r="Z7" s="221"/>
      <c r="AA7" s="221"/>
      <c r="AB7" s="264"/>
      <c r="AC7" s="265"/>
    </row>
    <row r="8" spans="3:29" x14ac:dyDescent="0.2">
      <c r="C8" s="253" t="s">
        <v>601</v>
      </c>
      <c r="F8" s="115"/>
      <c r="G8" s="115"/>
      <c r="H8" s="266"/>
      <c r="I8" s="254"/>
      <c r="J8" s="115"/>
      <c r="K8" s="115"/>
      <c r="L8" s="115"/>
      <c r="M8" s="253" t="s">
        <v>601</v>
      </c>
      <c r="R8" s="266"/>
      <c r="S8" s="254"/>
      <c r="U8" s="261"/>
      <c r="V8" s="261"/>
      <c r="W8" s="262"/>
      <c r="X8" s="263">
        <f t="shared" si="0"/>
        <v>0</v>
      </c>
      <c r="Z8" s="221"/>
      <c r="AA8" s="221"/>
      <c r="AB8" s="264"/>
      <c r="AC8" s="265"/>
    </row>
    <row r="9" spans="3:29" x14ac:dyDescent="0.2">
      <c r="C9" s="253" t="s">
        <v>602</v>
      </c>
      <c r="F9" s="115"/>
      <c r="G9" s="115"/>
      <c r="H9" s="267"/>
      <c r="I9" s="254"/>
      <c r="J9" s="115"/>
      <c r="K9" s="115" t="s">
        <v>603</v>
      </c>
      <c r="L9" s="115"/>
      <c r="M9" s="253" t="s">
        <v>602</v>
      </c>
      <c r="R9" s="267"/>
      <c r="S9" s="254"/>
      <c r="U9" s="261"/>
      <c r="V9" s="261"/>
      <c r="W9" s="262"/>
      <c r="X9" s="263">
        <f t="shared" si="0"/>
        <v>0</v>
      </c>
      <c r="Z9" s="221"/>
      <c r="AA9" s="221"/>
      <c r="AB9" s="264"/>
      <c r="AC9" s="265"/>
    </row>
    <row r="10" spans="3:29" x14ac:dyDescent="0.2">
      <c r="C10" s="253" t="s">
        <v>604</v>
      </c>
      <c r="F10" s="115"/>
      <c r="G10" s="115" t="s">
        <v>605</v>
      </c>
      <c r="H10" s="267">
        <v>0</v>
      </c>
      <c r="I10" s="254"/>
      <c r="J10" s="115" t="s">
        <v>606</v>
      </c>
      <c r="K10" s="268" t="s">
        <v>419</v>
      </c>
      <c r="L10" s="269">
        <v>68</v>
      </c>
      <c r="M10" s="115" t="s">
        <v>604</v>
      </c>
      <c r="Q10" s="115" t="s">
        <v>605</v>
      </c>
      <c r="R10" s="267">
        <v>0</v>
      </c>
      <c r="S10" s="254"/>
      <c r="U10" s="261"/>
      <c r="V10" s="261"/>
      <c r="W10" s="262"/>
      <c r="X10" s="263">
        <f t="shared" si="0"/>
        <v>0</v>
      </c>
      <c r="Z10" s="221"/>
      <c r="AA10" s="221"/>
      <c r="AB10" s="264"/>
      <c r="AC10" s="265"/>
    </row>
    <row r="11" spans="3:29" x14ac:dyDescent="0.2">
      <c r="C11" s="253" t="s">
        <v>607</v>
      </c>
      <c r="F11" s="115"/>
      <c r="G11" s="115"/>
      <c r="I11" s="270">
        <f>SUM(H8:H10)</f>
        <v>0</v>
      </c>
      <c r="J11" s="115" t="s">
        <v>606</v>
      </c>
      <c r="K11" s="268" t="s">
        <v>409</v>
      </c>
      <c r="L11" s="269">
        <v>85</v>
      </c>
      <c r="M11" s="115" t="s">
        <v>607</v>
      </c>
      <c r="S11" s="270">
        <f>SUM(R8:R10)</f>
        <v>0</v>
      </c>
      <c r="T11" s="271"/>
      <c r="U11" s="272"/>
      <c r="V11" s="261"/>
      <c r="W11" s="262"/>
      <c r="X11" s="263">
        <f t="shared" si="0"/>
        <v>0</v>
      </c>
      <c r="Z11" s="273"/>
      <c r="AA11" s="221"/>
      <c r="AB11" s="264"/>
      <c r="AC11" s="265"/>
    </row>
    <row r="12" spans="3:29" x14ac:dyDescent="0.2">
      <c r="C12" s="253"/>
      <c r="F12" s="115"/>
      <c r="G12" s="115"/>
      <c r="I12" s="274"/>
      <c r="J12" s="115" t="s">
        <v>608</v>
      </c>
      <c r="K12" s="268" t="s">
        <v>609</v>
      </c>
      <c r="L12" s="275">
        <v>116</v>
      </c>
      <c r="M12" s="115"/>
      <c r="S12" s="274"/>
      <c r="T12" s="271"/>
      <c r="U12" s="262"/>
      <c r="V12" s="261"/>
      <c r="W12" s="262"/>
      <c r="X12" s="263">
        <f t="shared" si="0"/>
        <v>0</v>
      </c>
      <c r="Z12" s="264"/>
      <c r="AA12" s="221"/>
      <c r="AB12" s="264"/>
      <c r="AC12" s="265"/>
    </row>
    <row r="13" spans="3:29" ht="21.75" customHeight="1" x14ac:dyDescent="0.25">
      <c r="C13" s="253"/>
      <c r="F13" s="115"/>
      <c r="G13" s="115"/>
      <c r="I13" s="274"/>
      <c r="J13" s="115" t="s">
        <v>610</v>
      </c>
      <c r="K13" s="268" t="s">
        <v>611</v>
      </c>
      <c r="L13" s="269">
        <v>55</v>
      </c>
      <c r="M13" s="115"/>
      <c r="S13" s="274"/>
      <c r="T13" s="276"/>
      <c r="U13" s="262"/>
      <c r="V13" s="261"/>
      <c r="W13" s="262"/>
      <c r="X13" s="263">
        <f t="shared" si="0"/>
        <v>0</v>
      </c>
      <c r="Z13" s="264"/>
      <c r="AA13" s="221"/>
      <c r="AB13" s="264"/>
      <c r="AC13" s="265"/>
    </row>
    <row r="14" spans="3:29" ht="15.75" customHeight="1" x14ac:dyDescent="0.25">
      <c r="C14" s="253" t="s">
        <v>612</v>
      </c>
      <c r="D14" s="277"/>
      <c r="E14" s="369" t="s">
        <v>613</v>
      </c>
      <c r="F14" s="368"/>
      <c r="G14" s="349"/>
      <c r="H14" s="267"/>
      <c r="I14" s="254"/>
      <c r="J14" s="115"/>
      <c r="K14" s="278" t="s">
        <v>12</v>
      </c>
      <c r="L14" s="259">
        <f>SUM((L10:L13))</f>
        <v>324</v>
      </c>
      <c r="M14" s="253" t="s">
        <v>612</v>
      </c>
      <c r="N14" s="277">
        <v>192000</v>
      </c>
      <c r="O14" s="369" t="s">
        <v>613</v>
      </c>
      <c r="P14" s="368"/>
      <c r="Q14" s="349"/>
      <c r="R14" s="267"/>
      <c r="S14" s="254"/>
      <c r="T14" s="279"/>
      <c r="U14" s="280"/>
      <c r="V14" s="280"/>
      <c r="W14" s="281"/>
      <c r="X14" s="263">
        <f t="shared" si="0"/>
        <v>0</v>
      </c>
      <c r="Z14" s="221"/>
      <c r="AA14" s="221"/>
      <c r="AB14" s="264"/>
      <c r="AC14" s="265"/>
    </row>
    <row r="15" spans="3:29" ht="15.75" customHeight="1" x14ac:dyDescent="0.2">
      <c r="C15" s="253" t="s">
        <v>612</v>
      </c>
      <c r="D15" s="282">
        <v>53150</v>
      </c>
      <c r="E15" s="367" t="s">
        <v>614</v>
      </c>
      <c r="F15" s="368"/>
      <c r="G15" s="349"/>
      <c r="H15" s="283">
        <f>L14</f>
        <v>324</v>
      </c>
      <c r="I15" s="254"/>
      <c r="J15" s="115"/>
      <c r="K15" s="115"/>
      <c r="L15" s="115"/>
      <c r="M15" s="253" t="s">
        <v>612</v>
      </c>
      <c r="N15" s="277"/>
      <c r="O15" s="367" t="s">
        <v>615</v>
      </c>
      <c r="P15" s="368"/>
      <c r="Q15" s="349"/>
      <c r="R15" s="283"/>
      <c r="S15" s="254"/>
      <c r="T15" s="279"/>
      <c r="U15" s="261"/>
      <c r="V15" s="261"/>
      <c r="W15" s="262"/>
      <c r="X15" s="263">
        <f t="shared" si="0"/>
        <v>0</v>
      </c>
      <c r="Z15" s="221"/>
      <c r="AA15" s="221"/>
      <c r="AB15" s="264"/>
      <c r="AC15" s="265"/>
    </row>
    <row r="16" spans="3:29" ht="15.75" customHeight="1" x14ac:dyDescent="0.2">
      <c r="C16" s="253" t="s">
        <v>612</v>
      </c>
      <c r="D16" s="284" t="s">
        <v>616</v>
      </c>
      <c r="E16" s="367" t="s">
        <v>617</v>
      </c>
      <c r="F16" s="368"/>
      <c r="G16" s="349"/>
      <c r="H16" s="283">
        <f>Z41</f>
        <v>0</v>
      </c>
      <c r="I16" s="254"/>
      <c r="M16" s="253" t="s">
        <v>612</v>
      </c>
      <c r="N16" s="277" t="s">
        <v>616</v>
      </c>
      <c r="O16" s="367" t="s">
        <v>617</v>
      </c>
      <c r="P16" s="368"/>
      <c r="Q16" s="349"/>
      <c r="R16" s="283">
        <f>Z57</f>
        <v>0</v>
      </c>
      <c r="S16" s="254"/>
      <c r="T16" s="279"/>
      <c r="U16" s="261"/>
      <c r="V16" s="261"/>
      <c r="W16" s="262"/>
      <c r="X16" s="263">
        <f t="shared" si="0"/>
        <v>0</v>
      </c>
      <c r="Z16" s="221"/>
      <c r="AA16" s="221"/>
      <c r="AB16" s="264"/>
      <c r="AC16" s="265"/>
    </row>
    <row r="17" spans="3:30" ht="15.75" customHeight="1" x14ac:dyDescent="0.2">
      <c r="C17" s="253" t="s">
        <v>612</v>
      </c>
      <c r="D17" s="277"/>
      <c r="E17" s="369" t="s">
        <v>618</v>
      </c>
      <c r="F17" s="368"/>
      <c r="G17" s="349"/>
      <c r="H17" s="267">
        <v>0</v>
      </c>
      <c r="I17" s="254"/>
      <c r="M17" s="253" t="s">
        <v>612</v>
      </c>
      <c r="N17" s="277"/>
      <c r="O17" s="367" t="s">
        <v>619</v>
      </c>
      <c r="P17" s="368"/>
      <c r="Q17" s="349"/>
      <c r="R17" s="283">
        <f>SUM(L34:L37)</f>
        <v>0</v>
      </c>
      <c r="S17" s="254"/>
      <c r="T17" s="279"/>
      <c r="U17" s="261"/>
      <c r="V17" s="261"/>
      <c r="W17" s="262"/>
      <c r="X17" s="263">
        <f t="shared" si="0"/>
        <v>0</v>
      </c>
      <c r="Z17" s="221"/>
      <c r="AA17" s="221"/>
      <c r="AB17" s="264"/>
      <c r="AC17" s="265"/>
    </row>
    <row r="18" spans="3:30" ht="15.75" customHeight="1" x14ac:dyDescent="0.2">
      <c r="C18" s="253" t="s">
        <v>612</v>
      </c>
      <c r="D18" s="277" t="s">
        <v>620</v>
      </c>
      <c r="E18" s="367" t="s">
        <v>621</v>
      </c>
      <c r="F18" s="368"/>
      <c r="G18" s="349"/>
      <c r="H18" s="285">
        <v>37.979999999999997</v>
      </c>
      <c r="I18" s="254"/>
      <c r="M18" s="253" t="s">
        <v>612</v>
      </c>
      <c r="N18" s="277"/>
      <c r="O18" s="369" t="s">
        <v>622</v>
      </c>
      <c r="P18" s="368"/>
      <c r="Q18" s="349"/>
      <c r="R18" s="267">
        <v>0</v>
      </c>
      <c r="S18" s="254"/>
      <c r="T18" s="286"/>
      <c r="U18" s="262"/>
      <c r="V18" s="261"/>
      <c r="W18" s="262"/>
      <c r="X18" s="263">
        <f t="shared" si="0"/>
        <v>0</v>
      </c>
      <c r="Z18" s="264"/>
      <c r="AA18" s="221"/>
      <c r="AB18" s="264"/>
      <c r="AC18" s="265"/>
    </row>
    <row r="19" spans="3:30" ht="15.75" customHeight="1" x14ac:dyDescent="0.2">
      <c r="C19" s="253"/>
      <c r="F19" s="115"/>
      <c r="G19" s="115"/>
      <c r="I19" s="254"/>
      <c r="M19" s="253"/>
      <c r="S19" s="254"/>
      <c r="T19" s="287"/>
      <c r="U19" s="288"/>
      <c r="V19" s="261"/>
      <c r="W19" s="262"/>
      <c r="X19" s="263">
        <f t="shared" si="0"/>
        <v>0</v>
      </c>
      <c r="Y19" s="260"/>
      <c r="Z19" s="289"/>
      <c r="AA19" s="221"/>
      <c r="AB19" s="264"/>
      <c r="AC19" s="265"/>
      <c r="AD19" s="260"/>
    </row>
    <row r="20" spans="3:30" ht="15.75" customHeight="1" x14ac:dyDescent="0.2">
      <c r="C20" s="253" t="s">
        <v>623</v>
      </c>
      <c r="F20" s="115"/>
      <c r="G20" s="115"/>
      <c r="I20" s="270">
        <f>SUM(H14:H18)</f>
        <v>361.98</v>
      </c>
      <c r="M20" s="253" t="s">
        <v>623</v>
      </c>
      <c r="S20" s="270">
        <f>SUM(R14:R18)</f>
        <v>0</v>
      </c>
      <c r="T20" s="287"/>
      <c r="U20" s="288"/>
      <c r="V20" s="290"/>
      <c r="W20" s="262"/>
      <c r="X20" s="263">
        <f t="shared" si="0"/>
        <v>0</v>
      </c>
      <c r="Z20" s="289"/>
      <c r="AA20" s="221"/>
      <c r="AB20" s="264"/>
      <c r="AC20" s="265"/>
    </row>
    <row r="21" spans="3:30" ht="15.75" customHeight="1" x14ac:dyDescent="0.2">
      <c r="C21" s="253"/>
      <c r="F21" s="115"/>
      <c r="G21" s="115"/>
      <c r="I21" s="254"/>
      <c r="J21" s="115"/>
      <c r="K21" s="115"/>
      <c r="L21" s="115"/>
      <c r="M21" s="253"/>
      <c r="S21" s="254"/>
      <c r="T21" s="286"/>
      <c r="U21" s="272"/>
      <c r="V21" s="261"/>
      <c r="W21" s="272"/>
      <c r="X21" s="263">
        <f t="shared" si="0"/>
        <v>0</v>
      </c>
      <c r="Z21" s="273"/>
      <c r="AA21" s="221"/>
      <c r="AB21" s="273"/>
      <c r="AC21" s="265"/>
    </row>
    <row r="22" spans="3:30" ht="15.75" customHeight="1" x14ac:dyDescent="0.2">
      <c r="C22" s="253" t="s">
        <v>624</v>
      </c>
      <c r="F22" s="115"/>
      <c r="G22" s="115"/>
      <c r="I22" s="291">
        <f>Liquor!$N$400</f>
        <v>6528.7571000000007</v>
      </c>
      <c r="J22" s="115"/>
      <c r="K22" s="115"/>
      <c r="L22" s="115"/>
      <c r="M22" s="253" t="s">
        <v>624</v>
      </c>
      <c r="S22" s="291">
        <f>Beer!$M$32</f>
        <v>1220</v>
      </c>
      <c r="T22" s="286"/>
      <c r="U22" s="262" t="s">
        <v>514</v>
      </c>
      <c r="V22" s="261"/>
      <c r="W22" s="262">
        <f>SUM(W7:W21)</f>
        <v>0</v>
      </c>
      <c r="X22" s="263">
        <f t="shared" si="0"/>
        <v>0</v>
      </c>
      <c r="Z22" s="264"/>
      <c r="AA22" s="221"/>
      <c r="AB22" s="264"/>
      <c r="AC22" s="265"/>
    </row>
    <row r="23" spans="3:30" ht="15.75" customHeight="1" x14ac:dyDescent="0.2">
      <c r="C23" s="253"/>
      <c r="F23" s="115"/>
      <c r="G23" s="115"/>
      <c r="I23" s="254"/>
      <c r="J23" s="115"/>
      <c r="K23" s="115"/>
      <c r="L23" s="115"/>
      <c r="M23" s="253"/>
      <c r="S23" s="254"/>
      <c r="U23" s="292" t="s">
        <v>12</v>
      </c>
      <c r="V23" s="293"/>
      <c r="W23" s="294"/>
      <c r="X23" s="292">
        <f>SUM(X7:X22)</f>
        <v>0</v>
      </c>
      <c r="Y23" s="295"/>
      <c r="Z23" s="296"/>
      <c r="AA23" s="265"/>
      <c r="AB23" s="297"/>
      <c r="AC23" s="296"/>
      <c r="AD23" s="298"/>
    </row>
    <row r="24" spans="3:30" ht="15.75" customHeight="1" x14ac:dyDescent="0.2">
      <c r="C24" s="253" t="s">
        <v>625</v>
      </c>
      <c r="F24" s="115"/>
      <c r="G24" s="115"/>
      <c r="I24" s="270">
        <f>I6+I11-I20-I22</f>
        <v>15305.502900000001</v>
      </c>
      <c r="J24" s="115"/>
      <c r="K24" s="115"/>
      <c r="L24" s="115"/>
      <c r="M24" s="253" t="s">
        <v>625</v>
      </c>
      <c r="S24" s="270">
        <f>S6+S11-S20-S22</f>
        <v>1859.62</v>
      </c>
      <c r="V24" s="221"/>
    </row>
    <row r="25" spans="3:30" ht="15.75" customHeight="1" x14ac:dyDescent="0.2">
      <c r="C25" s="253"/>
      <c r="F25" s="115"/>
      <c r="G25" s="115"/>
      <c r="I25" s="254"/>
      <c r="J25" s="115"/>
      <c r="K25" s="115"/>
      <c r="L25" s="115"/>
      <c r="M25" s="253"/>
      <c r="S25" s="254"/>
      <c r="U25" s="299" t="s">
        <v>626</v>
      </c>
      <c r="V25" s="300">
        <f>((X23+AC23)*0.5)</f>
        <v>0</v>
      </c>
    </row>
    <row r="26" spans="3:30" ht="15.75" customHeight="1" x14ac:dyDescent="0.2">
      <c r="C26" s="301" t="s">
        <v>627</v>
      </c>
      <c r="D26" s="302"/>
      <c r="E26" s="302"/>
      <c r="F26" s="302"/>
      <c r="G26" s="302"/>
      <c r="H26" s="302"/>
      <c r="I26" s="303" t="e">
        <f>I24/G4</f>
        <v>#DIV/0!</v>
      </c>
      <c r="J26" s="115"/>
      <c r="K26" s="115"/>
      <c r="L26" s="115"/>
      <c r="M26" s="301" t="s">
        <v>627</v>
      </c>
      <c r="N26" s="302"/>
      <c r="O26" s="302"/>
      <c r="P26" s="302"/>
      <c r="Q26" s="302"/>
      <c r="R26" s="302"/>
      <c r="S26" s="303" t="e">
        <f>S24/Q4</f>
        <v>#DIV/0!</v>
      </c>
      <c r="T26" s="304"/>
      <c r="U26" s="115"/>
    </row>
    <row r="27" spans="3:30" ht="15.75" customHeight="1" x14ac:dyDescent="0.2">
      <c r="F27" s="115"/>
      <c r="G27" s="115"/>
      <c r="I27" s="115"/>
      <c r="J27" s="115"/>
      <c r="K27" s="115"/>
      <c r="L27" s="115"/>
    </row>
    <row r="28" spans="3:30" ht="15.75" customHeight="1" x14ac:dyDescent="0.2">
      <c r="F28" s="115"/>
      <c r="G28" s="115"/>
      <c r="I28" s="115"/>
      <c r="J28" s="115"/>
      <c r="K28" s="115"/>
      <c r="L28" s="115"/>
    </row>
    <row r="29" spans="3:30" ht="15.75" customHeight="1" x14ac:dyDescent="0.2">
      <c r="F29" s="115"/>
      <c r="G29" s="115"/>
      <c r="I29" s="115"/>
      <c r="J29" s="176"/>
      <c r="K29" s="176"/>
      <c r="L29" s="176"/>
      <c r="V29" s="115"/>
      <c r="W29" s="115"/>
      <c r="X29" s="115"/>
    </row>
    <row r="30" spans="3:30" ht="15.75" customHeight="1" x14ac:dyDescent="0.2">
      <c r="F30" s="115"/>
      <c r="G30" s="115"/>
      <c r="I30" s="305"/>
      <c r="J30" s="208"/>
      <c r="K30" s="208"/>
      <c r="L30" s="306"/>
      <c r="M30" s="238"/>
      <c r="N30" s="238"/>
      <c r="O30" s="238"/>
      <c r="P30" s="238"/>
      <c r="Q30" s="238"/>
      <c r="R30" s="238"/>
      <c r="S30" s="238"/>
      <c r="T30" s="238"/>
      <c r="U30" s="238"/>
      <c r="W30" s="115"/>
      <c r="X30" s="115"/>
    </row>
    <row r="31" spans="3:30" ht="30" customHeight="1" x14ac:dyDescent="0.3">
      <c r="C31" s="385" t="s">
        <v>441</v>
      </c>
      <c r="D31" s="371"/>
      <c r="E31" s="371"/>
      <c r="F31" s="371"/>
      <c r="G31" s="371"/>
      <c r="H31" s="371"/>
      <c r="I31" s="372"/>
      <c r="J31" s="176"/>
      <c r="K31" s="208"/>
      <c r="L31" s="307"/>
      <c r="M31" s="385" t="s">
        <v>628</v>
      </c>
      <c r="N31" s="371"/>
      <c r="O31" s="371"/>
      <c r="P31" s="371"/>
      <c r="Q31" s="371"/>
      <c r="R31" s="371"/>
      <c r="S31" s="372"/>
      <c r="U31" s="308" t="s">
        <v>629</v>
      </c>
      <c r="V31" s="309" t="s">
        <v>630</v>
      </c>
      <c r="W31" s="309" t="s">
        <v>631</v>
      </c>
      <c r="X31" s="309" t="s">
        <v>632</v>
      </c>
      <c r="Y31" s="309" t="s">
        <v>633</v>
      </c>
      <c r="Z31" s="309" t="s">
        <v>634</v>
      </c>
    </row>
    <row r="32" spans="3:30" ht="15.75" customHeight="1" x14ac:dyDescent="0.2">
      <c r="C32" s="253" t="s">
        <v>635</v>
      </c>
      <c r="F32" s="115"/>
      <c r="G32" s="115"/>
      <c r="I32" s="254"/>
      <c r="J32" s="310"/>
      <c r="K32" s="311" t="s">
        <v>619</v>
      </c>
      <c r="L32" s="312"/>
      <c r="M32" s="253" t="s">
        <v>636</v>
      </c>
      <c r="S32" s="254"/>
      <c r="U32" s="313" t="s">
        <v>637</v>
      </c>
      <c r="V32" s="314">
        <v>14</v>
      </c>
      <c r="W32" s="314">
        <v>5</v>
      </c>
      <c r="X32" s="314">
        <f t="shared" ref="X32:X39" si="1">V32-W32</f>
        <v>9</v>
      </c>
      <c r="Y32" s="108"/>
      <c r="Z32" s="314">
        <f t="shared" ref="Z32:Z39" si="2">X32*Y32</f>
        <v>0</v>
      </c>
    </row>
    <row r="33" spans="3:26" ht="15.75" customHeight="1" x14ac:dyDescent="0.2">
      <c r="C33" s="253" t="s">
        <v>596</v>
      </c>
      <c r="F33" s="115"/>
      <c r="G33" s="373">
        <v>45986</v>
      </c>
      <c r="H33" s="368"/>
      <c r="I33" s="374"/>
      <c r="J33" s="315" t="s">
        <v>525</v>
      </c>
      <c r="K33" s="315" t="s">
        <v>638</v>
      </c>
      <c r="L33" s="315" t="s">
        <v>12</v>
      </c>
      <c r="M33" s="115" t="s">
        <v>596</v>
      </c>
      <c r="Q33" s="373">
        <v>45986</v>
      </c>
      <c r="R33" s="368"/>
      <c r="S33" s="374"/>
      <c r="U33" s="313" t="s">
        <v>639</v>
      </c>
      <c r="V33" s="314">
        <v>14</v>
      </c>
      <c r="W33" s="314">
        <v>10</v>
      </c>
      <c r="X33" s="314">
        <f t="shared" si="1"/>
        <v>4</v>
      </c>
      <c r="Y33" s="108"/>
      <c r="Z33" s="314">
        <f t="shared" si="2"/>
        <v>0</v>
      </c>
    </row>
    <row r="34" spans="3:26" ht="15.75" customHeight="1" x14ac:dyDescent="0.2">
      <c r="C34" s="253" t="s">
        <v>597</v>
      </c>
      <c r="F34" s="115"/>
      <c r="G34" s="387"/>
      <c r="H34" s="368"/>
      <c r="I34" s="374"/>
      <c r="J34" s="316"/>
      <c r="K34" s="316"/>
      <c r="L34" s="294"/>
      <c r="M34" s="115" t="s">
        <v>597</v>
      </c>
      <c r="Q34" s="386">
        <f>SUM(G4+G34+Q4+L76)</f>
        <v>0</v>
      </c>
      <c r="R34" s="368"/>
      <c r="S34" s="374"/>
      <c r="U34" s="313" t="s">
        <v>640</v>
      </c>
      <c r="V34" s="314">
        <v>15</v>
      </c>
      <c r="W34" s="314">
        <v>11</v>
      </c>
      <c r="X34" s="314">
        <f t="shared" si="1"/>
        <v>4</v>
      </c>
      <c r="Y34" s="108"/>
      <c r="Z34" s="314">
        <f t="shared" si="2"/>
        <v>0</v>
      </c>
    </row>
    <row r="35" spans="3:26" ht="15.75" customHeight="1" x14ac:dyDescent="0.2">
      <c r="C35" s="253"/>
      <c r="F35" s="115"/>
      <c r="G35" s="115"/>
      <c r="I35" s="115"/>
      <c r="J35" s="316"/>
      <c r="K35" s="317"/>
      <c r="L35" s="294"/>
      <c r="M35" s="115"/>
      <c r="S35" s="254"/>
      <c r="U35" s="318" t="s">
        <v>641</v>
      </c>
      <c r="V35" s="319">
        <v>14</v>
      </c>
      <c r="W35" s="319">
        <v>5</v>
      </c>
      <c r="X35" s="314">
        <f t="shared" si="1"/>
        <v>9</v>
      </c>
      <c r="Y35" s="320"/>
      <c r="Z35" s="314">
        <f t="shared" si="2"/>
        <v>0</v>
      </c>
    </row>
    <row r="36" spans="3:26" ht="15.75" customHeight="1" x14ac:dyDescent="0.2">
      <c r="C36" s="253" t="s">
        <v>599</v>
      </c>
      <c r="F36" s="115"/>
      <c r="G36" s="115"/>
      <c r="I36" s="321">
        <v>9363.76</v>
      </c>
      <c r="J36" s="316"/>
      <c r="K36" s="316"/>
      <c r="L36" s="294"/>
      <c r="M36" s="115" t="s">
        <v>599</v>
      </c>
      <c r="S36" s="322">
        <f>I6+I36+S6+N78</f>
        <v>34639.620000000003</v>
      </c>
      <c r="U36" s="318" t="s">
        <v>642</v>
      </c>
      <c r="V36" s="319">
        <v>14</v>
      </c>
      <c r="W36" s="319">
        <v>10</v>
      </c>
      <c r="X36" s="314">
        <f t="shared" si="1"/>
        <v>4</v>
      </c>
      <c r="Y36" s="320"/>
      <c r="Z36" s="314">
        <f t="shared" si="2"/>
        <v>0</v>
      </c>
    </row>
    <row r="37" spans="3:26" ht="15.75" customHeight="1" x14ac:dyDescent="0.2">
      <c r="C37" s="253"/>
      <c r="F37" s="115"/>
      <c r="G37" s="115"/>
      <c r="I37" s="115"/>
      <c r="J37" s="316"/>
      <c r="K37" s="316"/>
      <c r="L37" s="294"/>
      <c r="M37" s="115"/>
      <c r="S37" s="254"/>
      <c r="U37" s="318" t="s">
        <v>643</v>
      </c>
      <c r="V37" s="319">
        <v>14</v>
      </c>
      <c r="W37" s="319">
        <v>10</v>
      </c>
      <c r="X37" s="314">
        <f t="shared" si="1"/>
        <v>4</v>
      </c>
      <c r="Y37" s="320"/>
      <c r="Z37" s="314">
        <f t="shared" si="2"/>
        <v>0</v>
      </c>
    </row>
    <row r="38" spans="3:26" ht="15.75" customHeight="1" x14ac:dyDescent="0.2">
      <c r="C38" s="253" t="s">
        <v>601</v>
      </c>
      <c r="F38" s="115"/>
      <c r="G38" s="115"/>
      <c r="H38" s="266"/>
      <c r="I38" s="115"/>
      <c r="J38" s="315" t="s">
        <v>441</v>
      </c>
      <c r="K38" s="316"/>
      <c r="L38" s="294"/>
      <c r="M38" s="115" t="s">
        <v>601</v>
      </c>
      <c r="R38" s="267"/>
      <c r="S38" s="254"/>
      <c r="U38" s="318" t="s">
        <v>644</v>
      </c>
      <c r="V38" s="319">
        <v>12</v>
      </c>
      <c r="W38" s="319">
        <v>4</v>
      </c>
      <c r="X38" s="314">
        <f t="shared" si="1"/>
        <v>8</v>
      </c>
      <c r="Y38" s="320"/>
      <c r="Z38" s="314">
        <f t="shared" si="2"/>
        <v>0</v>
      </c>
    </row>
    <row r="39" spans="3:26" ht="15.75" customHeight="1" x14ac:dyDescent="0.2">
      <c r="C39" s="253" t="s">
        <v>602</v>
      </c>
      <c r="F39" s="115"/>
      <c r="G39" s="115"/>
      <c r="H39" s="267"/>
      <c r="I39" s="115"/>
      <c r="J39" s="316"/>
      <c r="K39" s="316"/>
      <c r="L39" s="294"/>
      <c r="M39" s="115" t="s">
        <v>602</v>
      </c>
      <c r="R39" s="267"/>
      <c r="S39" s="254"/>
      <c r="U39" s="318" t="s">
        <v>645</v>
      </c>
      <c r="V39" s="319">
        <v>12</v>
      </c>
      <c r="W39" s="319">
        <v>4</v>
      </c>
      <c r="X39" s="314">
        <f t="shared" si="1"/>
        <v>8</v>
      </c>
      <c r="Y39" s="320"/>
      <c r="Z39" s="314">
        <f t="shared" si="2"/>
        <v>0</v>
      </c>
    </row>
    <row r="40" spans="3:26" ht="15.75" customHeight="1" x14ac:dyDescent="0.2">
      <c r="C40" s="253" t="s">
        <v>604</v>
      </c>
      <c r="F40" s="115"/>
      <c r="G40" s="115" t="s">
        <v>605</v>
      </c>
      <c r="H40" s="267">
        <v>0</v>
      </c>
      <c r="I40" s="115"/>
      <c r="J40" s="316"/>
      <c r="K40" s="316"/>
      <c r="L40" s="294"/>
      <c r="M40" s="115" t="s">
        <v>604</v>
      </c>
      <c r="Q40" s="115" t="s">
        <v>605</v>
      </c>
      <c r="R40" s="267">
        <v>0</v>
      </c>
      <c r="S40" s="254"/>
      <c r="U40" s="323"/>
      <c r="V40" s="323"/>
      <c r="W40" s="323"/>
      <c r="X40" s="384" t="s">
        <v>646</v>
      </c>
      <c r="Y40" s="349"/>
      <c r="Z40" s="324">
        <f>SUM(Z32:Z39)</f>
        <v>0</v>
      </c>
    </row>
    <row r="41" spans="3:26" ht="15.75" customHeight="1" x14ac:dyDescent="0.2">
      <c r="C41" s="253" t="s">
        <v>607</v>
      </c>
      <c r="F41" s="115"/>
      <c r="G41" s="115"/>
      <c r="I41" s="325">
        <f>SUM(H38:H40)</f>
        <v>0</v>
      </c>
      <c r="J41" s="316"/>
      <c r="K41" s="316"/>
      <c r="L41" s="294"/>
      <c r="M41" s="115" t="s">
        <v>607</v>
      </c>
      <c r="S41" s="270">
        <f>SUM(R38:R40)</f>
        <v>0</v>
      </c>
      <c r="U41" s="326"/>
      <c r="V41" s="327"/>
      <c r="W41" s="327"/>
      <c r="X41" s="383" t="s">
        <v>647</v>
      </c>
      <c r="Y41" s="349"/>
      <c r="Z41" s="328">
        <f>Z40*0.18</f>
        <v>0</v>
      </c>
    </row>
    <row r="42" spans="3:26" ht="15.75" customHeight="1" x14ac:dyDescent="0.2">
      <c r="C42" s="253"/>
      <c r="F42" s="115"/>
      <c r="G42" s="115"/>
      <c r="I42" s="113"/>
      <c r="J42" s="316"/>
      <c r="K42" s="316"/>
      <c r="L42" s="294"/>
      <c r="M42" s="115"/>
      <c r="S42" s="274"/>
      <c r="U42" s="326"/>
      <c r="V42" s="327"/>
      <c r="W42" s="327"/>
      <c r="X42" s="327"/>
      <c r="Y42" s="327"/>
      <c r="Z42" s="327"/>
    </row>
    <row r="43" spans="3:26" ht="15.75" customHeight="1" x14ac:dyDescent="0.2">
      <c r="C43" s="253"/>
      <c r="F43" s="115"/>
      <c r="G43" s="115"/>
      <c r="I43" s="274"/>
      <c r="J43" s="115"/>
      <c r="K43" s="115"/>
      <c r="L43" s="115"/>
      <c r="M43" s="253"/>
      <c r="S43" s="274"/>
      <c r="U43" s="308" t="s">
        <v>648</v>
      </c>
      <c r="V43" s="309" t="s">
        <v>630</v>
      </c>
      <c r="W43" s="309" t="s">
        <v>631</v>
      </c>
      <c r="X43" s="309" t="s">
        <v>632</v>
      </c>
      <c r="Y43" s="309" t="s">
        <v>633</v>
      </c>
      <c r="Z43" s="309" t="s">
        <v>634</v>
      </c>
    </row>
    <row r="44" spans="3:26" ht="15.75" customHeight="1" x14ac:dyDescent="0.2">
      <c r="C44" s="253"/>
      <c r="D44" s="329" t="s">
        <v>649</v>
      </c>
      <c r="E44" s="376" t="s">
        <v>638</v>
      </c>
      <c r="F44" s="368"/>
      <c r="G44" s="349"/>
      <c r="H44" s="313" t="s">
        <v>650</v>
      </c>
      <c r="I44" s="254"/>
      <c r="J44" s="310"/>
      <c r="K44" s="311" t="s">
        <v>651</v>
      </c>
      <c r="L44" s="312"/>
      <c r="M44" s="253"/>
      <c r="N44" s="329" t="s">
        <v>649</v>
      </c>
      <c r="O44" s="376" t="s">
        <v>638</v>
      </c>
      <c r="P44" s="368"/>
      <c r="Q44" s="349"/>
      <c r="R44" s="313" t="s">
        <v>650</v>
      </c>
      <c r="S44" s="254"/>
      <c r="U44" s="313" t="s">
        <v>652</v>
      </c>
      <c r="V44" s="330">
        <v>12</v>
      </c>
      <c r="W44" s="330">
        <v>8</v>
      </c>
      <c r="X44" s="330">
        <f t="shared" ref="X44:X47" si="3">V44-W44</f>
        <v>4</v>
      </c>
      <c r="Y44" s="108"/>
      <c r="Z44" s="314">
        <f t="shared" ref="Z44:Z47" si="4">X44*Y44</f>
        <v>0</v>
      </c>
    </row>
    <row r="45" spans="3:26" ht="15.75" customHeight="1" x14ac:dyDescent="0.2">
      <c r="C45" s="253" t="s">
        <v>612</v>
      </c>
      <c r="D45" s="331"/>
      <c r="E45" s="115" t="s">
        <v>653</v>
      </c>
      <c r="F45" s="115"/>
      <c r="G45" s="115"/>
      <c r="H45" s="332">
        <v>0</v>
      </c>
      <c r="I45" s="254"/>
      <c r="J45" s="315" t="s">
        <v>654</v>
      </c>
      <c r="K45" s="315" t="s">
        <v>638</v>
      </c>
      <c r="L45" s="315" t="s">
        <v>12</v>
      </c>
      <c r="M45" s="253" t="s">
        <v>612</v>
      </c>
      <c r="N45" s="331"/>
      <c r="O45" s="115" t="s">
        <v>653</v>
      </c>
      <c r="R45" s="332">
        <v>0</v>
      </c>
      <c r="S45" s="254"/>
      <c r="U45" s="313" t="s">
        <v>655</v>
      </c>
      <c r="V45" s="330">
        <v>16</v>
      </c>
      <c r="W45" s="330">
        <v>8</v>
      </c>
      <c r="X45" s="330">
        <f t="shared" si="3"/>
        <v>8</v>
      </c>
      <c r="Y45" s="108"/>
      <c r="Z45" s="314">
        <f t="shared" si="4"/>
        <v>0</v>
      </c>
    </row>
    <row r="46" spans="3:26" ht="15.75" customHeight="1" x14ac:dyDescent="0.2">
      <c r="C46" s="253" t="s">
        <v>612</v>
      </c>
      <c r="D46" s="277"/>
      <c r="E46" s="115" t="s">
        <v>656</v>
      </c>
      <c r="F46" s="115"/>
      <c r="G46" s="115"/>
      <c r="H46" s="267">
        <v>0</v>
      </c>
      <c r="I46" s="254"/>
      <c r="J46" s="316"/>
      <c r="K46" s="333" t="s">
        <v>657</v>
      </c>
      <c r="L46" s="294">
        <v>170</v>
      </c>
      <c r="M46" s="253" t="s">
        <v>612</v>
      </c>
      <c r="N46" s="277"/>
      <c r="O46" s="115" t="s">
        <v>656</v>
      </c>
      <c r="R46" s="267">
        <v>0</v>
      </c>
      <c r="S46" s="254"/>
      <c r="U46" s="313" t="s">
        <v>658</v>
      </c>
      <c r="V46" s="330">
        <v>12</v>
      </c>
      <c r="W46" s="330">
        <v>8</v>
      </c>
      <c r="X46" s="330">
        <f t="shared" si="3"/>
        <v>4</v>
      </c>
      <c r="Y46" s="108"/>
      <c r="Z46" s="314">
        <f t="shared" si="4"/>
        <v>0</v>
      </c>
    </row>
    <row r="47" spans="3:26" ht="15.75" customHeight="1" x14ac:dyDescent="0.2">
      <c r="C47" s="253" t="s">
        <v>612</v>
      </c>
      <c r="D47" s="277"/>
      <c r="E47" s="115" t="s">
        <v>659</v>
      </c>
      <c r="F47" s="115"/>
      <c r="G47" s="115"/>
      <c r="H47" s="267">
        <v>0</v>
      </c>
      <c r="I47" s="254"/>
      <c r="J47" s="316"/>
      <c r="K47" s="317"/>
      <c r="L47" s="294"/>
      <c r="M47" s="253" t="s">
        <v>612</v>
      </c>
      <c r="N47" s="277"/>
      <c r="O47" s="115" t="s">
        <v>659</v>
      </c>
      <c r="R47" s="267">
        <v>0</v>
      </c>
      <c r="S47" s="254"/>
      <c r="U47" s="318" t="s">
        <v>660</v>
      </c>
      <c r="V47" s="324">
        <v>12</v>
      </c>
      <c r="W47" s="324">
        <v>8</v>
      </c>
      <c r="X47" s="330">
        <f t="shared" si="3"/>
        <v>4</v>
      </c>
      <c r="Y47" s="320"/>
      <c r="Z47" s="314">
        <f t="shared" si="4"/>
        <v>0</v>
      </c>
    </row>
    <row r="48" spans="3:26" ht="15.75" customHeight="1" x14ac:dyDescent="0.2">
      <c r="C48" s="253" t="s">
        <v>612</v>
      </c>
      <c r="D48" s="277"/>
      <c r="E48" s="115" t="s">
        <v>661</v>
      </c>
      <c r="F48" s="115"/>
      <c r="G48" s="115"/>
      <c r="H48" s="267">
        <v>0</v>
      </c>
      <c r="I48" s="254"/>
      <c r="J48" s="316"/>
      <c r="K48" s="316"/>
      <c r="L48" s="294"/>
      <c r="M48" s="253" t="s">
        <v>612</v>
      </c>
      <c r="N48" s="277"/>
      <c r="O48" s="115" t="s">
        <v>661</v>
      </c>
      <c r="R48" s="267">
        <v>0</v>
      </c>
      <c r="S48" s="254"/>
      <c r="U48" s="323"/>
      <c r="V48" s="323"/>
      <c r="W48" s="323"/>
      <c r="X48" s="384" t="s">
        <v>646</v>
      </c>
      <c r="Y48" s="349"/>
      <c r="Z48" s="324">
        <f>SUM(Z44:Z47)</f>
        <v>0</v>
      </c>
    </row>
    <row r="49" spans="3:26" ht="15.75" customHeight="1" x14ac:dyDescent="0.2">
      <c r="C49" s="253" t="s">
        <v>612</v>
      </c>
      <c r="D49" s="277"/>
      <c r="E49" s="115" t="s">
        <v>662</v>
      </c>
      <c r="F49" s="115"/>
      <c r="G49" s="115"/>
      <c r="H49" s="267">
        <v>0</v>
      </c>
      <c r="I49" s="254"/>
      <c r="J49" s="115"/>
      <c r="K49" s="115"/>
      <c r="L49" s="115"/>
      <c r="M49" s="253" t="s">
        <v>612</v>
      </c>
      <c r="N49" s="277"/>
      <c r="O49" s="115" t="s">
        <v>662</v>
      </c>
      <c r="R49" s="267">
        <v>0</v>
      </c>
      <c r="S49" s="254"/>
      <c r="U49" s="326"/>
      <c r="V49" s="327"/>
      <c r="W49" s="327"/>
      <c r="X49" s="383" t="s">
        <v>663</v>
      </c>
      <c r="Y49" s="349"/>
      <c r="Z49" s="328">
        <f>Z48*0.28</f>
        <v>0</v>
      </c>
    </row>
    <row r="50" spans="3:26" ht="15.75" customHeight="1" x14ac:dyDescent="0.2">
      <c r="C50" s="253" t="s">
        <v>612</v>
      </c>
      <c r="D50" s="277"/>
      <c r="E50" s="115" t="s">
        <v>664</v>
      </c>
      <c r="F50" s="115"/>
      <c r="G50" s="115"/>
      <c r="H50" s="267">
        <v>0</v>
      </c>
      <c r="I50" s="254"/>
      <c r="J50" s="115"/>
      <c r="K50" s="115" t="s">
        <v>665</v>
      </c>
      <c r="L50" s="115"/>
      <c r="M50" s="253" t="s">
        <v>612</v>
      </c>
      <c r="N50" s="277"/>
      <c r="O50" s="115" t="s">
        <v>664</v>
      </c>
      <c r="R50" s="267">
        <v>0</v>
      </c>
      <c r="S50" s="254"/>
    </row>
    <row r="51" spans="3:26" ht="15.75" customHeight="1" x14ac:dyDescent="0.2">
      <c r="C51" s="253" t="s">
        <v>612</v>
      </c>
      <c r="D51" s="277"/>
      <c r="E51" s="115" t="s">
        <v>666</v>
      </c>
      <c r="F51" s="115"/>
      <c r="G51" s="115"/>
      <c r="H51" s="267">
        <v>0</v>
      </c>
      <c r="I51" s="115"/>
      <c r="J51" s="315" t="s">
        <v>654</v>
      </c>
      <c r="K51" s="315" t="s">
        <v>667</v>
      </c>
      <c r="L51" s="315" t="s">
        <v>445</v>
      </c>
      <c r="M51" s="115" t="s">
        <v>612</v>
      </c>
      <c r="N51" s="277"/>
      <c r="O51" s="115" t="s">
        <v>666</v>
      </c>
      <c r="R51" s="267">
        <v>0</v>
      </c>
      <c r="S51" s="254"/>
      <c r="U51" s="308" t="s">
        <v>668</v>
      </c>
      <c r="V51" s="309" t="s">
        <v>630</v>
      </c>
      <c r="W51" s="309" t="s">
        <v>631</v>
      </c>
      <c r="X51" s="309" t="s">
        <v>632</v>
      </c>
      <c r="Y51" s="309" t="s">
        <v>633</v>
      </c>
      <c r="Z51" s="309" t="s">
        <v>634</v>
      </c>
    </row>
    <row r="52" spans="3:26" ht="15.75" customHeight="1" x14ac:dyDescent="0.2">
      <c r="C52" s="253" t="s">
        <v>612</v>
      </c>
      <c r="D52" s="277"/>
      <c r="E52" s="115" t="s">
        <v>669</v>
      </c>
      <c r="F52" s="115"/>
      <c r="G52" s="115"/>
      <c r="H52" s="267">
        <v>0</v>
      </c>
      <c r="I52" s="115"/>
      <c r="J52" s="334"/>
      <c r="K52" s="335" t="s">
        <v>670</v>
      </c>
      <c r="L52" s="293">
        <v>48.95</v>
      </c>
      <c r="M52" s="115" t="s">
        <v>612</v>
      </c>
      <c r="N52" s="277"/>
      <c r="O52" s="115" t="s">
        <v>669</v>
      </c>
      <c r="R52" s="267">
        <v>0</v>
      </c>
      <c r="S52" s="254"/>
      <c r="U52" s="313" t="s">
        <v>671</v>
      </c>
      <c r="V52" s="330">
        <v>7</v>
      </c>
      <c r="W52" s="330">
        <v>5</v>
      </c>
      <c r="X52" s="330">
        <f t="shared" ref="X52:X55" si="5">V52-W52</f>
        <v>2</v>
      </c>
      <c r="Y52" s="108"/>
      <c r="Z52" s="314">
        <f t="shared" ref="Z52:Z55" si="6">X52*Y52</f>
        <v>0</v>
      </c>
    </row>
    <row r="53" spans="3:26" ht="15.75" customHeight="1" x14ac:dyDescent="0.2">
      <c r="C53" s="253" t="s">
        <v>612</v>
      </c>
      <c r="D53" s="277"/>
      <c r="E53" s="369" t="s">
        <v>672</v>
      </c>
      <c r="F53" s="368"/>
      <c r="G53" s="349"/>
      <c r="H53" s="267">
        <v>0</v>
      </c>
      <c r="I53" s="115"/>
      <c r="J53" s="334"/>
      <c r="K53" s="335"/>
      <c r="L53" s="293"/>
      <c r="M53" s="115" t="s">
        <v>612</v>
      </c>
      <c r="N53" s="277"/>
      <c r="O53" s="369" t="s">
        <v>672</v>
      </c>
      <c r="P53" s="368"/>
      <c r="Q53" s="349"/>
      <c r="R53" s="267">
        <v>0</v>
      </c>
      <c r="S53" s="254"/>
      <c r="U53" s="313" t="s">
        <v>673</v>
      </c>
      <c r="V53" s="330">
        <v>6</v>
      </c>
      <c r="W53" s="330">
        <v>5</v>
      </c>
      <c r="X53" s="330">
        <f t="shared" si="5"/>
        <v>1</v>
      </c>
      <c r="Y53" s="108"/>
      <c r="Z53" s="314">
        <f t="shared" si="6"/>
        <v>0</v>
      </c>
    </row>
    <row r="54" spans="3:26" ht="15.75" customHeight="1" x14ac:dyDescent="0.2">
      <c r="C54" s="253" t="s">
        <v>612</v>
      </c>
      <c r="D54" s="277"/>
      <c r="E54" s="367" t="s">
        <v>619</v>
      </c>
      <c r="F54" s="368"/>
      <c r="G54" s="349"/>
      <c r="H54" s="285">
        <f>SUM(L39:L42)</f>
        <v>0</v>
      </c>
      <c r="I54" s="115"/>
      <c r="J54" s="334"/>
      <c r="K54" s="335"/>
      <c r="L54" s="293"/>
      <c r="M54" s="115" t="s">
        <v>612</v>
      </c>
      <c r="N54" s="277"/>
      <c r="O54" s="369" t="s">
        <v>674</v>
      </c>
      <c r="P54" s="368"/>
      <c r="Q54" s="349"/>
      <c r="R54" s="267"/>
      <c r="S54" s="254"/>
      <c r="U54" s="313" t="s">
        <v>675</v>
      </c>
      <c r="V54" s="330">
        <v>7</v>
      </c>
      <c r="W54" s="330">
        <v>5</v>
      </c>
      <c r="X54" s="330">
        <f t="shared" si="5"/>
        <v>2</v>
      </c>
      <c r="Y54" s="108"/>
      <c r="Z54" s="314">
        <f t="shared" si="6"/>
        <v>0</v>
      </c>
    </row>
    <row r="55" spans="3:26" ht="15.75" customHeight="1" x14ac:dyDescent="0.2">
      <c r="C55" s="253" t="s">
        <v>612</v>
      </c>
      <c r="D55" s="277"/>
      <c r="E55" s="369" t="s">
        <v>676</v>
      </c>
      <c r="F55" s="368"/>
      <c r="G55" s="349"/>
      <c r="H55" s="267">
        <v>0</v>
      </c>
      <c r="I55" s="115"/>
      <c r="J55" s="334"/>
      <c r="K55" s="335"/>
      <c r="L55" s="293"/>
      <c r="M55" s="115" t="s">
        <v>612</v>
      </c>
      <c r="N55" s="277"/>
      <c r="O55" s="369" t="s">
        <v>676</v>
      </c>
      <c r="P55" s="368"/>
      <c r="Q55" s="349"/>
      <c r="R55" s="267">
        <v>0</v>
      </c>
      <c r="S55" s="254"/>
      <c r="U55" s="318" t="s">
        <v>677</v>
      </c>
      <c r="V55" s="324">
        <v>6</v>
      </c>
      <c r="W55" s="324">
        <v>2</v>
      </c>
      <c r="X55" s="330">
        <f t="shared" si="5"/>
        <v>4</v>
      </c>
      <c r="Y55" s="320"/>
      <c r="Z55" s="314">
        <f t="shared" si="6"/>
        <v>0</v>
      </c>
    </row>
    <row r="56" spans="3:26" ht="15.75" customHeight="1" x14ac:dyDescent="0.2">
      <c r="C56" s="253" t="s">
        <v>612</v>
      </c>
      <c r="D56" s="284">
        <v>43150</v>
      </c>
      <c r="E56" s="367" t="s">
        <v>614</v>
      </c>
      <c r="F56" s="368"/>
      <c r="G56" s="349"/>
      <c r="H56" s="285">
        <f>L66</f>
        <v>48.95</v>
      </c>
      <c r="I56" s="238"/>
      <c r="J56" s="334"/>
      <c r="K56" s="335"/>
      <c r="L56" s="293"/>
      <c r="M56" s="115" t="s">
        <v>612</v>
      </c>
      <c r="N56" s="277"/>
      <c r="O56" s="367" t="s">
        <v>678</v>
      </c>
      <c r="P56" s="368"/>
      <c r="Q56" s="349"/>
      <c r="R56" s="285"/>
      <c r="S56" s="254"/>
      <c r="U56" s="323"/>
      <c r="V56" s="323"/>
      <c r="W56" s="323"/>
      <c r="X56" s="384" t="s">
        <v>646</v>
      </c>
      <c r="Y56" s="349"/>
      <c r="Z56" s="324">
        <f>SUM(Z52:Z55)</f>
        <v>0</v>
      </c>
    </row>
    <row r="57" spans="3:26" ht="15.75" customHeight="1" x14ac:dyDescent="0.2">
      <c r="C57" s="253" t="s">
        <v>612</v>
      </c>
      <c r="D57" s="277" t="s">
        <v>616</v>
      </c>
      <c r="E57" s="367" t="s">
        <v>617</v>
      </c>
      <c r="F57" s="368"/>
      <c r="G57" s="349"/>
      <c r="H57" s="283">
        <f>Z49</f>
        <v>0</v>
      </c>
      <c r="I57" s="238"/>
      <c r="J57" s="334"/>
      <c r="K57" s="335"/>
      <c r="L57" s="293"/>
      <c r="M57" s="115" t="s">
        <v>612</v>
      </c>
      <c r="N57" s="277"/>
      <c r="O57" s="367" t="s">
        <v>679</v>
      </c>
      <c r="P57" s="368"/>
      <c r="Q57" s="349"/>
      <c r="R57" s="285">
        <v>0</v>
      </c>
      <c r="S57" s="254"/>
      <c r="U57" s="326"/>
      <c r="V57" s="327"/>
      <c r="W57" s="327"/>
      <c r="X57" s="383" t="s">
        <v>680</v>
      </c>
      <c r="Y57" s="349"/>
      <c r="Z57" s="328">
        <f>Z56*0.25</f>
        <v>0</v>
      </c>
    </row>
    <row r="58" spans="3:26" ht="15.75" customHeight="1" x14ac:dyDescent="0.2">
      <c r="C58" s="253" t="s">
        <v>612</v>
      </c>
      <c r="D58" s="277" t="s">
        <v>681</v>
      </c>
      <c r="E58" s="367" t="s">
        <v>651</v>
      </c>
      <c r="F58" s="368"/>
      <c r="G58" s="349"/>
      <c r="H58" s="285">
        <f>SUM(L46:L48)</f>
        <v>170</v>
      </c>
      <c r="I58" s="115"/>
      <c r="J58" s="334"/>
      <c r="K58" s="335"/>
      <c r="L58" s="293"/>
      <c r="M58" s="115" t="s">
        <v>612</v>
      </c>
      <c r="N58" s="277"/>
      <c r="O58" s="367" t="s">
        <v>615</v>
      </c>
      <c r="P58" s="368"/>
      <c r="Q58" s="349"/>
      <c r="R58" s="285">
        <v>0</v>
      </c>
      <c r="S58" s="254"/>
    </row>
    <row r="59" spans="3:26" ht="15.75" customHeight="1" x14ac:dyDescent="0.2">
      <c r="C59" s="253" t="s">
        <v>612</v>
      </c>
      <c r="D59" s="277" t="s">
        <v>682</v>
      </c>
      <c r="E59" s="367" t="s">
        <v>683</v>
      </c>
      <c r="F59" s="368"/>
      <c r="G59" s="349"/>
      <c r="H59" s="285">
        <f>V25</f>
        <v>0</v>
      </c>
      <c r="I59" s="336"/>
      <c r="J59" s="334"/>
      <c r="K59" s="335"/>
      <c r="L59" s="293"/>
      <c r="M59" s="115" t="s">
        <v>612</v>
      </c>
      <c r="N59" s="277"/>
      <c r="O59" s="369" t="s">
        <v>684</v>
      </c>
      <c r="P59" s="368"/>
      <c r="Q59" s="349"/>
      <c r="R59" s="267"/>
      <c r="S59" s="254"/>
    </row>
    <row r="60" spans="3:26" ht="15.75" customHeight="1" x14ac:dyDescent="0.2">
      <c r="C60" s="253" t="s">
        <v>612</v>
      </c>
      <c r="D60" s="277"/>
      <c r="E60" s="367" t="s">
        <v>685</v>
      </c>
      <c r="F60" s="368"/>
      <c r="G60" s="349"/>
      <c r="H60" s="285">
        <f>'Wine Waste'!G71</f>
        <v>0</v>
      </c>
      <c r="I60" s="337"/>
      <c r="J60" s="334"/>
      <c r="K60" s="335"/>
      <c r="L60" s="293"/>
      <c r="M60" s="115" t="s">
        <v>612</v>
      </c>
      <c r="N60" s="277"/>
      <c r="O60" s="369" t="s">
        <v>622</v>
      </c>
      <c r="P60" s="368"/>
      <c r="Q60" s="349"/>
      <c r="R60" s="267">
        <v>0</v>
      </c>
      <c r="S60" s="254"/>
    </row>
    <row r="61" spans="3:26" ht="15.75" customHeight="1" x14ac:dyDescent="0.2">
      <c r="C61" s="253" t="s">
        <v>612</v>
      </c>
      <c r="D61" s="277"/>
      <c r="E61" s="369" t="s">
        <v>684</v>
      </c>
      <c r="F61" s="368"/>
      <c r="G61" s="349"/>
      <c r="H61" s="285">
        <v>0</v>
      </c>
      <c r="I61" s="338"/>
      <c r="J61" s="334"/>
      <c r="K61" s="335"/>
      <c r="L61" s="293"/>
      <c r="M61" s="115" t="s">
        <v>612</v>
      </c>
      <c r="N61" s="277"/>
      <c r="O61" s="369" t="s">
        <v>622</v>
      </c>
      <c r="P61" s="368"/>
      <c r="Q61" s="349"/>
      <c r="R61" s="267">
        <v>0</v>
      </c>
      <c r="S61" s="254"/>
    </row>
    <row r="62" spans="3:26" ht="15.75" customHeight="1" x14ac:dyDescent="0.2">
      <c r="C62" s="253"/>
      <c r="F62" s="115"/>
      <c r="G62" s="115"/>
      <c r="I62" s="115"/>
      <c r="J62" s="334"/>
      <c r="K62" s="335"/>
      <c r="L62" s="293"/>
      <c r="M62" s="115"/>
      <c r="S62" s="254"/>
    </row>
    <row r="63" spans="3:26" ht="15.75" customHeight="1" x14ac:dyDescent="0.2">
      <c r="C63" s="253" t="s">
        <v>623</v>
      </c>
      <c r="F63" s="115"/>
      <c r="G63" s="115"/>
      <c r="I63" s="325">
        <f>H61+H60+H59+H58+H57+H56+H55+H54+H53+H52+H51+H50+H49+H48+H47+H46+H45+N105</f>
        <v>218.95</v>
      </c>
      <c r="J63" s="334"/>
      <c r="K63" s="335"/>
      <c r="L63" s="293"/>
      <c r="M63" s="115" t="s">
        <v>623</v>
      </c>
      <c r="S63" s="270">
        <f>SUM(I63,S20,I20,N105)</f>
        <v>580.93000000000006</v>
      </c>
    </row>
    <row r="64" spans="3:26" ht="15.75" customHeight="1" x14ac:dyDescent="0.2">
      <c r="C64" s="253"/>
      <c r="F64" s="115"/>
      <c r="G64" s="115"/>
      <c r="I64" s="115"/>
      <c r="J64" s="334"/>
      <c r="K64" s="335"/>
      <c r="L64" s="293"/>
      <c r="M64" s="115"/>
      <c r="S64" s="254"/>
    </row>
    <row r="65" spans="3:23" ht="15.75" customHeight="1" x14ac:dyDescent="0.2">
      <c r="C65" s="253" t="s">
        <v>624</v>
      </c>
      <c r="F65" s="115"/>
      <c r="G65" s="115"/>
      <c r="I65" s="291">
        <f>Wine!$P$51+'Owners Collection'!$N$9</f>
        <v>8823.3369999999995</v>
      </c>
      <c r="J65" s="115"/>
      <c r="K65" s="115"/>
      <c r="L65" s="115"/>
      <c r="M65" s="253" t="s">
        <v>624</v>
      </c>
      <c r="S65" s="291">
        <f>I65+I22+S22+N107</f>
        <v>16572.094100000002</v>
      </c>
    </row>
    <row r="66" spans="3:23" ht="15.75" customHeight="1" x14ac:dyDescent="0.2">
      <c r="C66" s="253"/>
      <c r="F66" s="115"/>
      <c r="G66" s="115"/>
      <c r="I66" s="254"/>
      <c r="J66" s="339" t="s">
        <v>514</v>
      </c>
      <c r="K66" s="339"/>
      <c r="L66" s="340">
        <f>SUM(L52:L64)</f>
        <v>48.95</v>
      </c>
      <c r="M66" s="253"/>
      <c r="S66" s="254"/>
    </row>
    <row r="67" spans="3:23" ht="15.75" customHeight="1" x14ac:dyDescent="0.2">
      <c r="C67" s="253" t="s">
        <v>625</v>
      </c>
      <c r="F67" s="115"/>
      <c r="G67" s="115"/>
      <c r="I67" s="341">
        <f>I36+I41-I63-I65</f>
        <v>321.47299999999996</v>
      </c>
      <c r="J67" s="115"/>
      <c r="K67" s="115"/>
      <c r="L67" s="115"/>
      <c r="M67" s="253" t="s">
        <v>625</v>
      </c>
      <c r="S67" s="270">
        <f>S36+S41-S63-S65</f>
        <v>17486.5959</v>
      </c>
    </row>
    <row r="68" spans="3:23" ht="15.75" customHeight="1" x14ac:dyDescent="0.2">
      <c r="C68" s="253"/>
      <c r="F68" s="115"/>
      <c r="G68" s="115"/>
      <c r="I68" s="254"/>
      <c r="J68" s="115"/>
      <c r="K68" s="115"/>
      <c r="L68" s="115"/>
      <c r="M68" s="253"/>
      <c r="S68" s="254"/>
    </row>
    <row r="69" spans="3:23" ht="15.75" customHeight="1" x14ac:dyDescent="0.2">
      <c r="C69" s="301" t="s">
        <v>627</v>
      </c>
      <c r="D69" s="302"/>
      <c r="E69" s="302"/>
      <c r="F69" s="302"/>
      <c r="G69" s="302"/>
      <c r="H69" s="302"/>
      <c r="I69" s="303" t="e">
        <f>I67/G34</f>
        <v>#DIV/0!</v>
      </c>
      <c r="J69" s="115"/>
      <c r="K69" s="115"/>
      <c r="L69" s="115"/>
      <c r="M69" s="301" t="s">
        <v>627</v>
      </c>
      <c r="N69" s="302"/>
      <c r="O69" s="302"/>
      <c r="P69" s="302"/>
      <c r="Q69" s="302"/>
      <c r="R69" s="302"/>
      <c r="S69" s="303" t="e">
        <f>S67/Q34</f>
        <v>#DIV/0!</v>
      </c>
    </row>
    <row r="70" spans="3:23" ht="15.75" customHeight="1" x14ac:dyDescent="0.2">
      <c r="E70" s="388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</row>
    <row r="71" spans="3:23" ht="15.75" customHeight="1" x14ac:dyDescent="0.2">
      <c r="E71" s="388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</row>
    <row r="72" spans="3:23" ht="15.75" customHeight="1" x14ac:dyDescent="0.2">
      <c r="E72" s="388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</row>
    <row r="73" spans="3:23" ht="22.5" customHeight="1" x14ac:dyDescent="0.2">
      <c r="F73" s="115"/>
      <c r="G73" s="115"/>
      <c r="I73" s="370" t="s">
        <v>686</v>
      </c>
      <c r="J73" s="371"/>
      <c r="K73" s="371"/>
      <c r="L73" s="371"/>
      <c r="M73" s="371"/>
      <c r="N73" s="372"/>
    </row>
    <row r="74" spans="3:23" ht="15.75" customHeight="1" x14ac:dyDescent="0.2">
      <c r="F74" s="115"/>
      <c r="G74" s="115"/>
      <c r="I74" s="253" t="s">
        <v>687</v>
      </c>
      <c r="J74" s="115"/>
      <c r="K74" s="115"/>
      <c r="L74" s="115"/>
      <c r="N74" s="254"/>
    </row>
    <row r="75" spans="3:23" ht="15.75" customHeight="1" x14ac:dyDescent="0.2">
      <c r="F75" s="115"/>
      <c r="G75" s="115"/>
      <c r="I75" s="253" t="s">
        <v>596</v>
      </c>
      <c r="J75" s="115"/>
      <c r="K75" s="115"/>
      <c r="L75" s="373">
        <v>45986</v>
      </c>
      <c r="M75" s="368"/>
      <c r="N75" s="374"/>
    </row>
    <row r="76" spans="3:23" ht="15.75" customHeight="1" x14ac:dyDescent="0.2">
      <c r="F76" s="115"/>
      <c r="G76" s="115"/>
      <c r="I76" s="253" t="s">
        <v>597</v>
      </c>
      <c r="J76" s="115"/>
      <c r="K76" s="115"/>
      <c r="L76" s="375"/>
      <c r="M76" s="368"/>
      <c r="N76" s="374"/>
    </row>
    <row r="77" spans="3:23" ht="15.75" customHeight="1" x14ac:dyDescent="0.2">
      <c r="F77" s="115"/>
      <c r="G77" s="115"/>
      <c r="I77" s="253"/>
      <c r="J77" s="115"/>
      <c r="K77" s="115"/>
      <c r="L77" s="115"/>
      <c r="N77" s="254"/>
    </row>
    <row r="78" spans="3:23" ht="15.75" customHeight="1" x14ac:dyDescent="0.2">
      <c r="F78" s="115"/>
      <c r="G78" s="115"/>
      <c r="I78" s="253" t="s">
        <v>599</v>
      </c>
      <c r="J78" s="115"/>
      <c r="K78" s="115"/>
      <c r="L78" s="115"/>
      <c r="N78" s="291"/>
    </row>
    <row r="79" spans="3:23" ht="15.75" customHeight="1" x14ac:dyDescent="0.2">
      <c r="F79" s="115"/>
      <c r="G79" s="115"/>
      <c r="I79" s="253"/>
      <c r="J79" s="115"/>
      <c r="K79" s="115"/>
      <c r="L79" s="115"/>
      <c r="N79" s="254"/>
    </row>
    <row r="80" spans="3:23" ht="15.75" customHeight="1" x14ac:dyDescent="0.2">
      <c r="F80" s="115"/>
      <c r="G80" s="115"/>
      <c r="I80" s="253" t="s">
        <v>601</v>
      </c>
      <c r="J80" s="115"/>
      <c r="K80" s="115"/>
      <c r="L80" s="115"/>
      <c r="M80" s="267"/>
      <c r="N80" s="254"/>
    </row>
    <row r="81" spans="6:14" ht="15.75" customHeight="1" x14ac:dyDescent="0.2">
      <c r="F81" s="115"/>
      <c r="G81" s="115"/>
      <c r="I81" s="253" t="s">
        <v>602</v>
      </c>
      <c r="J81" s="115"/>
      <c r="K81" s="115"/>
      <c r="L81" s="115"/>
      <c r="M81" s="267"/>
      <c r="N81" s="254"/>
    </row>
    <row r="82" spans="6:14" ht="15.75" customHeight="1" x14ac:dyDescent="0.2">
      <c r="F82" s="115"/>
      <c r="G82" s="115"/>
      <c r="I82" s="253" t="s">
        <v>604</v>
      </c>
      <c r="J82" s="115"/>
      <c r="K82" s="115"/>
      <c r="L82" s="115" t="s">
        <v>605</v>
      </c>
      <c r="M82" s="267">
        <v>0</v>
      </c>
      <c r="N82" s="254"/>
    </row>
    <row r="83" spans="6:14" ht="15.75" customHeight="1" x14ac:dyDescent="0.2">
      <c r="F83" s="115"/>
      <c r="G83" s="115"/>
      <c r="I83" s="253" t="s">
        <v>607</v>
      </c>
      <c r="J83" s="115"/>
      <c r="K83" s="115"/>
      <c r="L83" s="115"/>
      <c r="N83" s="270">
        <f>SUM(M80:M82)</f>
        <v>0</v>
      </c>
    </row>
    <row r="84" spans="6:14" ht="15.75" customHeight="1" x14ac:dyDescent="0.2">
      <c r="F84" s="115"/>
      <c r="G84" s="115"/>
      <c r="I84" s="253"/>
      <c r="J84" s="115"/>
      <c r="K84" s="115"/>
      <c r="L84" s="115"/>
      <c r="N84" s="274"/>
    </row>
    <row r="85" spans="6:14" ht="15.75" customHeight="1" x14ac:dyDescent="0.2">
      <c r="F85" s="115"/>
      <c r="G85" s="115"/>
      <c r="I85" s="253"/>
      <c r="J85" s="115"/>
      <c r="K85" s="115"/>
      <c r="L85" s="115"/>
      <c r="N85" s="274"/>
    </row>
    <row r="86" spans="6:14" ht="15.75" customHeight="1" x14ac:dyDescent="0.2">
      <c r="F86" s="115"/>
      <c r="G86" s="115"/>
      <c r="I86" s="253"/>
      <c r="J86" s="329" t="s">
        <v>649</v>
      </c>
      <c r="K86" s="376"/>
      <c r="L86" s="349"/>
      <c r="M86" s="313" t="s">
        <v>650</v>
      </c>
      <c r="N86" s="254"/>
    </row>
    <row r="87" spans="6:14" ht="15.75" customHeight="1" x14ac:dyDescent="0.2">
      <c r="F87" s="115"/>
      <c r="G87" s="115"/>
      <c r="I87" s="253" t="s">
        <v>612</v>
      </c>
      <c r="J87" s="331"/>
      <c r="K87" s="115"/>
      <c r="L87" s="115"/>
      <c r="M87" s="332">
        <v>0</v>
      </c>
      <c r="N87" s="254"/>
    </row>
    <row r="88" spans="6:14" ht="15.75" customHeight="1" x14ac:dyDescent="0.2">
      <c r="F88" s="115"/>
      <c r="G88" s="115"/>
      <c r="I88" s="253" t="s">
        <v>612</v>
      </c>
      <c r="J88" s="277"/>
      <c r="K88" s="115"/>
      <c r="L88" s="115"/>
      <c r="M88" s="267">
        <v>0</v>
      </c>
      <c r="N88" s="254"/>
    </row>
    <row r="89" spans="6:14" ht="15.75" customHeight="1" x14ac:dyDescent="0.2">
      <c r="F89" s="115"/>
      <c r="G89" s="115"/>
      <c r="I89" s="253" t="s">
        <v>612</v>
      </c>
      <c r="J89" s="277"/>
      <c r="K89" s="115"/>
      <c r="L89" s="115"/>
      <c r="M89" s="267">
        <v>0</v>
      </c>
      <c r="N89" s="254"/>
    </row>
    <row r="90" spans="6:14" ht="15.75" customHeight="1" x14ac:dyDescent="0.2">
      <c r="F90" s="115"/>
      <c r="G90" s="115"/>
      <c r="I90" s="253" t="s">
        <v>612</v>
      </c>
      <c r="J90" s="277"/>
      <c r="K90" s="115"/>
      <c r="L90" s="115"/>
      <c r="M90" s="267">
        <v>0</v>
      </c>
      <c r="N90" s="254"/>
    </row>
    <row r="91" spans="6:14" ht="15.75" customHeight="1" x14ac:dyDescent="0.2">
      <c r="F91" s="115"/>
      <c r="G91" s="115"/>
      <c r="I91" s="253" t="s">
        <v>612</v>
      </c>
      <c r="J91" s="277"/>
      <c r="K91" s="115"/>
      <c r="L91" s="115"/>
      <c r="M91" s="267">
        <v>0</v>
      </c>
      <c r="N91" s="254"/>
    </row>
    <row r="92" spans="6:14" ht="15.75" customHeight="1" x14ac:dyDescent="0.2">
      <c r="F92" s="115"/>
      <c r="G92" s="115"/>
      <c r="I92" s="253" t="s">
        <v>612</v>
      </c>
      <c r="J92" s="277"/>
      <c r="K92" s="115"/>
      <c r="L92" s="115"/>
      <c r="M92" s="267">
        <v>0</v>
      </c>
      <c r="N92" s="254"/>
    </row>
    <row r="93" spans="6:14" ht="15.75" customHeight="1" x14ac:dyDescent="0.2">
      <c r="F93" s="115"/>
      <c r="G93" s="115"/>
      <c r="I93" s="253" t="s">
        <v>612</v>
      </c>
      <c r="J93" s="277"/>
      <c r="K93" s="115"/>
      <c r="L93" s="115"/>
      <c r="M93" s="267">
        <v>0</v>
      </c>
      <c r="N93" s="254"/>
    </row>
    <row r="94" spans="6:14" ht="15.75" customHeight="1" x14ac:dyDescent="0.2">
      <c r="F94" s="115"/>
      <c r="G94" s="115"/>
      <c r="I94" s="253" t="s">
        <v>612</v>
      </c>
      <c r="J94" s="277"/>
      <c r="K94" s="115"/>
      <c r="L94" s="115"/>
      <c r="M94" s="267">
        <v>0</v>
      </c>
      <c r="N94" s="254"/>
    </row>
    <row r="95" spans="6:14" ht="15.75" customHeight="1" x14ac:dyDescent="0.2">
      <c r="F95" s="115"/>
      <c r="G95" s="115"/>
      <c r="I95" s="253" t="s">
        <v>612</v>
      </c>
      <c r="J95" s="277"/>
      <c r="K95" s="369"/>
      <c r="L95" s="349"/>
      <c r="M95" s="267">
        <v>0</v>
      </c>
      <c r="N95" s="254"/>
    </row>
    <row r="96" spans="6:14" ht="15.75" customHeight="1" x14ac:dyDescent="0.2">
      <c r="F96" s="115"/>
      <c r="G96" s="115"/>
      <c r="I96" s="253" t="s">
        <v>612</v>
      </c>
      <c r="J96" s="277"/>
      <c r="K96" s="369"/>
      <c r="L96" s="349"/>
      <c r="M96" s="267"/>
      <c r="N96" s="254"/>
    </row>
    <row r="97" spans="6:20" ht="15.75" customHeight="1" x14ac:dyDescent="0.2">
      <c r="F97" s="115"/>
      <c r="G97" s="115"/>
      <c r="I97" s="253" t="s">
        <v>612</v>
      </c>
      <c r="J97" s="277"/>
      <c r="K97" s="369"/>
      <c r="L97" s="349"/>
      <c r="M97" s="267">
        <v>0</v>
      </c>
      <c r="N97" s="254"/>
    </row>
    <row r="98" spans="6:20" ht="15.75" customHeight="1" x14ac:dyDescent="0.2">
      <c r="F98" s="115"/>
      <c r="G98" s="115"/>
      <c r="I98" s="253" t="s">
        <v>612</v>
      </c>
      <c r="J98" s="277"/>
      <c r="K98" s="367"/>
      <c r="L98" s="349"/>
      <c r="M98" s="285"/>
      <c r="N98" s="254"/>
    </row>
    <row r="99" spans="6:20" ht="15.75" customHeight="1" x14ac:dyDescent="0.2">
      <c r="F99" s="115"/>
      <c r="G99" s="115"/>
      <c r="I99" s="253" t="s">
        <v>612</v>
      </c>
      <c r="J99" s="277"/>
      <c r="K99" s="367"/>
      <c r="L99" s="349"/>
      <c r="M99" s="285">
        <v>0</v>
      </c>
      <c r="N99" s="254"/>
    </row>
    <row r="100" spans="6:20" ht="15.75" customHeight="1" x14ac:dyDescent="0.2">
      <c r="F100" s="115"/>
      <c r="G100" s="115"/>
      <c r="I100" s="253" t="s">
        <v>612</v>
      </c>
      <c r="J100" s="277" t="s">
        <v>682</v>
      </c>
      <c r="K100" s="367" t="s">
        <v>683</v>
      </c>
      <c r="L100" s="349"/>
      <c r="M100" s="285">
        <v>0</v>
      </c>
      <c r="N100" s="254"/>
    </row>
    <row r="101" spans="6:20" ht="15.75" customHeight="1" x14ac:dyDescent="0.2">
      <c r="F101" s="115"/>
      <c r="G101" s="115"/>
      <c r="I101" s="253" t="s">
        <v>612</v>
      </c>
      <c r="J101" s="277"/>
      <c r="K101" s="369"/>
      <c r="L101" s="349"/>
      <c r="M101" s="266">
        <v>0</v>
      </c>
      <c r="N101" s="342"/>
    </row>
    <row r="102" spans="6:20" ht="15.75" customHeight="1" x14ac:dyDescent="0.2">
      <c r="F102" s="115"/>
      <c r="G102" s="115"/>
      <c r="I102" s="253" t="s">
        <v>612</v>
      </c>
      <c r="J102" s="277"/>
      <c r="K102" s="369"/>
      <c r="L102" s="349"/>
      <c r="M102" s="267">
        <v>0</v>
      </c>
      <c r="N102" s="254"/>
      <c r="O102" s="238"/>
      <c r="P102" s="238"/>
      <c r="Q102" s="238"/>
      <c r="R102" s="238"/>
      <c r="S102" s="238"/>
      <c r="T102" s="238"/>
    </row>
    <row r="103" spans="6:20" ht="15.75" customHeight="1" x14ac:dyDescent="0.2">
      <c r="F103" s="115"/>
      <c r="G103" s="115"/>
      <c r="I103" s="253" t="s">
        <v>612</v>
      </c>
      <c r="J103" s="277"/>
      <c r="K103" s="369"/>
      <c r="L103" s="349"/>
      <c r="M103" s="267">
        <v>0</v>
      </c>
      <c r="N103" s="254"/>
    </row>
    <row r="104" spans="6:20" ht="15.75" customHeight="1" x14ac:dyDescent="0.2">
      <c r="F104" s="115"/>
      <c r="G104" s="115"/>
      <c r="I104" s="253"/>
      <c r="J104" s="115"/>
      <c r="K104" s="115"/>
      <c r="L104" s="115"/>
      <c r="N104" s="254"/>
    </row>
    <row r="105" spans="6:20" ht="15.75" customHeight="1" x14ac:dyDescent="0.2">
      <c r="F105" s="115"/>
      <c r="G105" s="115"/>
      <c r="I105" s="253" t="s">
        <v>623</v>
      </c>
      <c r="J105" s="115"/>
      <c r="K105" s="115"/>
      <c r="L105" s="115"/>
      <c r="N105" s="270">
        <f>SUM(M87:M103)</f>
        <v>0</v>
      </c>
    </row>
    <row r="106" spans="6:20" ht="15.75" customHeight="1" x14ac:dyDescent="0.2">
      <c r="F106" s="115"/>
      <c r="G106" s="115"/>
      <c r="I106" s="253"/>
      <c r="J106" s="115"/>
      <c r="K106" s="115"/>
      <c r="L106" s="115"/>
      <c r="N106" s="254"/>
    </row>
    <row r="107" spans="6:20" ht="15.75" customHeight="1" x14ac:dyDescent="0.2">
      <c r="F107" s="115"/>
      <c r="G107" s="115"/>
      <c r="I107" s="253" t="s">
        <v>624</v>
      </c>
      <c r="J107" s="115"/>
      <c r="K107" s="115"/>
      <c r="L107" s="115"/>
      <c r="N107" s="291"/>
    </row>
    <row r="108" spans="6:20" ht="15.75" customHeight="1" x14ac:dyDescent="0.2">
      <c r="F108" s="115"/>
      <c r="G108" s="115"/>
      <c r="I108" s="253"/>
      <c r="J108" s="115"/>
      <c r="K108" s="115"/>
      <c r="L108" s="115"/>
      <c r="N108" s="254"/>
    </row>
    <row r="109" spans="6:20" ht="15.75" customHeight="1" x14ac:dyDescent="0.2">
      <c r="F109" s="115"/>
      <c r="G109" s="115"/>
      <c r="I109" s="253" t="s">
        <v>625</v>
      </c>
      <c r="J109" s="115"/>
      <c r="K109" s="115"/>
      <c r="L109" s="115"/>
      <c r="N109" s="343">
        <f>N78+N83-N105-N107</f>
        <v>0</v>
      </c>
    </row>
    <row r="110" spans="6:20" ht="15.75" customHeight="1" x14ac:dyDescent="0.2">
      <c r="F110" s="115"/>
      <c r="G110" s="115"/>
      <c r="I110" s="253"/>
      <c r="J110" s="115"/>
      <c r="K110" s="115"/>
      <c r="L110" s="115"/>
      <c r="N110" s="254"/>
    </row>
    <row r="111" spans="6:20" ht="15.75" customHeight="1" x14ac:dyDescent="0.2">
      <c r="F111" s="115"/>
      <c r="G111" s="115"/>
      <c r="I111" s="301" t="s">
        <v>627</v>
      </c>
      <c r="J111" s="302"/>
      <c r="K111" s="302"/>
      <c r="L111" s="302"/>
      <c r="M111" s="302"/>
      <c r="N111" s="344" t="e">
        <f>N109/L76</f>
        <v>#DIV/0!</v>
      </c>
    </row>
    <row r="112" spans="6:20" ht="15.75" customHeight="1" x14ac:dyDescent="0.2">
      <c r="F112" s="115"/>
      <c r="G112" s="115"/>
      <c r="I112" s="115"/>
      <c r="J112" s="115"/>
      <c r="K112" s="115"/>
      <c r="L112" s="115"/>
    </row>
    <row r="113" spans="6:12" ht="15.75" customHeight="1" x14ac:dyDescent="0.2">
      <c r="F113" s="115"/>
      <c r="G113" s="115"/>
      <c r="I113" s="115"/>
      <c r="J113" s="115"/>
      <c r="K113" s="115"/>
      <c r="L113" s="115"/>
    </row>
    <row r="114" spans="6:12" ht="15.75" customHeight="1" x14ac:dyDescent="0.2">
      <c r="F114" s="115"/>
      <c r="G114" s="115"/>
      <c r="I114" s="115"/>
      <c r="J114" s="115"/>
      <c r="K114" s="115"/>
      <c r="L114" s="115"/>
    </row>
    <row r="115" spans="6:12" ht="15.75" customHeight="1" x14ac:dyDescent="0.2">
      <c r="F115" s="115"/>
      <c r="G115" s="115"/>
      <c r="I115" s="115"/>
      <c r="J115" s="115"/>
      <c r="K115" s="115"/>
      <c r="L115" s="115"/>
    </row>
    <row r="116" spans="6:12" ht="15.75" customHeight="1" x14ac:dyDescent="0.2">
      <c r="F116" s="115"/>
      <c r="G116" s="115"/>
      <c r="I116" s="115"/>
      <c r="J116" s="115"/>
      <c r="K116" s="115"/>
      <c r="L116" s="115"/>
    </row>
    <row r="117" spans="6:12" ht="15.75" customHeight="1" x14ac:dyDescent="0.2">
      <c r="F117" s="115"/>
      <c r="G117" s="115"/>
      <c r="I117" s="115"/>
      <c r="J117" s="115"/>
      <c r="K117" s="115"/>
      <c r="L117" s="115"/>
    </row>
    <row r="118" spans="6:12" ht="15.75" customHeight="1" x14ac:dyDescent="0.2">
      <c r="F118" s="115"/>
      <c r="G118" s="115"/>
      <c r="I118" s="115"/>
      <c r="J118" s="115"/>
      <c r="K118" s="115"/>
      <c r="L118" s="115"/>
    </row>
    <row r="119" spans="6:12" ht="15.75" customHeight="1" x14ac:dyDescent="0.2">
      <c r="F119" s="115"/>
      <c r="G119" s="115"/>
      <c r="I119" s="115"/>
      <c r="J119" s="115"/>
      <c r="K119" s="115"/>
      <c r="L119" s="115"/>
    </row>
    <row r="120" spans="6:12" ht="15.75" customHeight="1" x14ac:dyDescent="0.2">
      <c r="F120" s="115"/>
      <c r="G120" s="115"/>
      <c r="I120" s="115"/>
      <c r="J120" s="115"/>
      <c r="K120" s="115"/>
      <c r="L120" s="115"/>
    </row>
    <row r="121" spans="6:12" ht="15.75" customHeight="1" x14ac:dyDescent="0.2">
      <c r="F121" s="115"/>
      <c r="G121" s="115"/>
      <c r="I121" s="115"/>
      <c r="J121" s="115"/>
      <c r="K121" s="115"/>
      <c r="L121" s="115"/>
    </row>
    <row r="122" spans="6:12" ht="15.75" customHeight="1" x14ac:dyDescent="0.2">
      <c r="F122" s="115"/>
      <c r="G122" s="115"/>
      <c r="I122" s="115"/>
      <c r="J122" s="115"/>
      <c r="K122" s="115"/>
      <c r="L122" s="115"/>
    </row>
    <row r="123" spans="6:12" ht="15.75" customHeight="1" x14ac:dyDescent="0.2">
      <c r="F123" s="115"/>
      <c r="G123" s="115"/>
      <c r="I123" s="115"/>
      <c r="J123" s="115"/>
      <c r="K123" s="115"/>
      <c r="L123" s="115"/>
    </row>
    <row r="124" spans="6:12" ht="15.75" customHeight="1" x14ac:dyDescent="0.2">
      <c r="F124" s="115"/>
      <c r="G124" s="115"/>
      <c r="I124" s="115"/>
      <c r="J124" s="115"/>
      <c r="K124" s="115"/>
      <c r="L124" s="115"/>
    </row>
    <row r="125" spans="6:12" ht="15.75" customHeight="1" x14ac:dyDescent="0.2">
      <c r="F125" s="115"/>
      <c r="G125" s="115"/>
      <c r="I125" s="115"/>
      <c r="J125" s="115"/>
      <c r="K125" s="115"/>
      <c r="L125" s="115"/>
    </row>
    <row r="126" spans="6:12" ht="15.75" customHeight="1" x14ac:dyDescent="0.2">
      <c r="F126" s="115"/>
      <c r="G126" s="115"/>
      <c r="I126" s="115"/>
      <c r="J126" s="115"/>
      <c r="K126" s="115"/>
      <c r="L126" s="115"/>
    </row>
    <row r="127" spans="6:12" ht="15.75" customHeight="1" x14ac:dyDescent="0.2">
      <c r="F127" s="115"/>
      <c r="G127" s="115"/>
      <c r="I127" s="115"/>
      <c r="J127" s="115"/>
      <c r="K127" s="115"/>
      <c r="L127" s="115"/>
    </row>
    <row r="128" spans="6:12" ht="15.75" customHeight="1" x14ac:dyDescent="0.2">
      <c r="F128" s="115"/>
      <c r="G128" s="115"/>
      <c r="I128" s="115"/>
      <c r="J128" s="115"/>
      <c r="K128" s="115"/>
      <c r="L128" s="115"/>
    </row>
    <row r="129" spans="6:12" ht="15.75" customHeight="1" x14ac:dyDescent="0.2">
      <c r="F129" s="115"/>
      <c r="G129" s="115"/>
      <c r="I129" s="115"/>
      <c r="J129" s="115"/>
      <c r="K129" s="115"/>
      <c r="L129" s="115"/>
    </row>
    <row r="130" spans="6:12" ht="15.75" customHeight="1" x14ac:dyDescent="0.2">
      <c r="F130" s="115"/>
      <c r="G130" s="115"/>
      <c r="I130" s="115"/>
      <c r="J130" s="115"/>
      <c r="K130" s="115"/>
      <c r="L130" s="115"/>
    </row>
    <row r="131" spans="6:12" ht="15.75" customHeight="1" x14ac:dyDescent="0.2">
      <c r="F131" s="115"/>
      <c r="G131" s="115"/>
      <c r="I131" s="115"/>
      <c r="J131" s="115"/>
      <c r="K131" s="115"/>
      <c r="L131" s="115"/>
    </row>
    <row r="132" spans="6:12" ht="15.75" customHeight="1" x14ac:dyDescent="0.2">
      <c r="F132" s="115"/>
      <c r="G132" s="115"/>
      <c r="I132" s="115"/>
      <c r="J132" s="115"/>
      <c r="K132" s="115"/>
      <c r="L132" s="115"/>
    </row>
    <row r="133" spans="6:12" ht="15.75" customHeight="1" x14ac:dyDescent="0.2">
      <c r="F133" s="115"/>
      <c r="G133" s="115"/>
      <c r="I133" s="115"/>
      <c r="J133" s="115"/>
      <c r="K133" s="115"/>
      <c r="L133" s="115"/>
    </row>
    <row r="134" spans="6:12" ht="15.75" customHeight="1" x14ac:dyDescent="0.2">
      <c r="F134" s="115"/>
      <c r="G134" s="115"/>
      <c r="I134" s="115"/>
      <c r="J134" s="115"/>
      <c r="K134" s="115"/>
      <c r="L134" s="115"/>
    </row>
    <row r="135" spans="6:12" ht="15.75" customHeight="1" x14ac:dyDescent="0.2">
      <c r="F135" s="115"/>
      <c r="G135" s="115"/>
      <c r="I135" s="115"/>
      <c r="J135" s="115"/>
      <c r="K135" s="115"/>
      <c r="L135" s="115"/>
    </row>
    <row r="136" spans="6:12" ht="15.75" customHeight="1" x14ac:dyDescent="0.2">
      <c r="F136" s="115"/>
      <c r="G136" s="115"/>
      <c r="I136" s="115"/>
      <c r="J136" s="115"/>
      <c r="K136" s="115"/>
      <c r="L136" s="115"/>
    </row>
    <row r="137" spans="6:12" ht="15.75" customHeight="1" x14ac:dyDescent="0.2">
      <c r="F137" s="115"/>
      <c r="G137" s="115"/>
      <c r="I137" s="115"/>
      <c r="J137" s="115"/>
      <c r="K137" s="115"/>
      <c r="L137" s="115"/>
    </row>
    <row r="138" spans="6:12" ht="15.75" customHeight="1" x14ac:dyDescent="0.2">
      <c r="F138" s="115"/>
      <c r="G138" s="115"/>
      <c r="I138" s="115"/>
      <c r="J138" s="115"/>
      <c r="K138" s="115"/>
      <c r="L138" s="115"/>
    </row>
    <row r="139" spans="6:12" ht="15.75" customHeight="1" x14ac:dyDescent="0.2">
      <c r="F139" s="115"/>
      <c r="G139" s="115"/>
      <c r="I139" s="115"/>
      <c r="J139" s="115"/>
      <c r="K139" s="115"/>
      <c r="L139" s="115"/>
    </row>
    <row r="140" spans="6:12" ht="15.75" customHeight="1" x14ac:dyDescent="0.2">
      <c r="F140" s="115"/>
      <c r="G140" s="115"/>
      <c r="I140" s="115"/>
      <c r="J140" s="115"/>
      <c r="K140" s="115"/>
      <c r="L140" s="115"/>
    </row>
    <row r="141" spans="6:12" ht="15.75" customHeight="1" x14ac:dyDescent="0.2">
      <c r="F141" s="115"/>
      <c r="G141" s="115"/>
      <c r="I141" s="115"/>
      <c r="J141" s="115"/>
      <c r="K141" s="115"/>
      <c r="L141" s="115"/>
    </row>
    <row r="142" spans="6:12" ht="15.75" customHeight="1" x14ac:dyDescent="0.2">
      <c r="F142" s="115"/>
      <c r="G142" s="115"/>
      <c r="I142" s="115"/>
      <c r="J142" s="115"/>
      <c r="K142" s="115"/>
      <c r="L142" s="115"/>
    </row>
    <row r="143" spans="6:12" ht="15.75" customHeight="1" x14ac:dyDescent="0.2">
      <c r="F143" s="115"/>
      <c r="G143" s="115"/>
      <c r="I143" s="115"/>
      <c r="J143" s="115"/>
      <c r="K143" s="115"/>
      <c r="L143" s="115"/>
    </row>
    <row r="144" spans="6:12" ht="15.75" customHeight="1" x14ac:dyDescent="0.2">
      <c r="F144" s="115"/>
      <c r="G144" s="115"/>
      <c r="I144" s="115"/>
      <c r="J144" s="115"/>
      <c r="K144" s="115"/>
      <c r="L144" s="115"/>
    </row>
    <row r="145" spans="6:12" ht="15.75" customHeight="1" x14ac:dyDescent="0.2">
      <c r="F145" s="115"/>
      <c r="G145" s="115"/>
      <c r="I145" s="115"/>
      <c r="J145" s="115"/>
      <c r="K145" s="115"/>
      <c r="L145" s="115"/>
    </row>
    <row r="146" spans="6:12" ht="15.75" customHeight="1" x14ac:dyDescent="0.2">
      <c r="F146" s="115"/>
      <c r="G146" s="115"/>
      <c r="I146" s="115"/>
      <c r="J146" s="115"/>
      <c r="K146" s="115"/>
      <c r="L146" s="115"/>
    </row>
    <row r="147" spans="6:12" ht="15.75" customHeight="1" x14ac:dyDescent="0.2">
      <c r="F147" s="115"/>
      <c r="G147" s="115"/>
      <c r="I147" s="115"/>
      <c r="J147" s="115"/>
      <c r="K147" s="115"/>
      <c r="L147" s="115"/>
    </row>
    <row r="148" spans="6:12" ht="15.75" customHeight="1" x14ac:dyDescent="0.2">
      <c r="F148" s="115"/>
      <c r="G148" s="115"/>
      <c r="I148" s="115"/>
      <c r="J148" s="115"/>
      <c r="K148" s="115"/>
      <c r="L148" s="115"/>
    </row>
    <row r="149" spans="6:12" ht="15.75" customHeight="1" x14ac:dyDescent="0.2">
      <c r="F149" s="115"/>
      <c r="G149" s="115"/>
      <c r="I149" s="115"/>
      <c r="J149" s="115"/>
      <c r="K149" s="115"/>
      <c r="L149" s="115"/>
    </row>
    <row r="150" spans="6:12" ht="15.75" customHeight="1" x14ac:dyDescent="0.2">
      <c r="F150" s="115"/>
      <c r="G150" s="115"/>
      <c r="I150" s="115"/>
      <c r="J150" s="115"/>
      <c r="K150" s="115"/>
      <c r="L150" s="115"/>
    </row>
    <row r="151" spans="6:12" ht="15.75" customHeight="1" x14ac:dyDescent="0.2">
      <c r="F151" s="115"/>
      <c r="G151" s="115"/>
      <c r="I151" s="115"/>
      <c r="J151" s="115"/>
      <c r="K151" s="115"/>
      <c r="L151" s="115"/>
    </row>
    <row r="152" spans="6:12" ht="15.75" customHeight="1" x14ac:dyDescent="0.2">
      <c r="F152" s="115"/>
      <c r="G152" s="115"/>
      <c r="I152" s="115"/>
      <c r="J152" s="115"/>
      <c r="K152" s="115"/>
      <c r="L152" s="115"/>
    </row>
    <row r="153" spans="6:12" ht="15.75" customHeight="1" x14ac:dyDescent="0.2">
      <c r="F153" s="115"/>
      <c r="G153" s="115"/>
      <c r="I153" s="115"/>
      <c r="J153" s="115"/>
      <c r="K153" s="115"/>
      <c r="L153" s="115"/>
    </row>
    <row r="154" spans="6:12" ht="15.75" customHeight="1" x14ac:dyDescent="0.2">
      <c r="F154" s="115"/>
      <c r="G154" s="115"/>
      <c r="I154" s="115"/>
      <c r="J154" s="115"/>
      <c r="K154" s="115"/>
      <c r="L154" s="115"/>
    </row>
    <row r="155" spans="6:12" ht="15.75" customHeight="1" x14ac:dyDescent="0.2">
      <c r="F155" s="115"/>
      <c r="G155" s="115"/>
      <c r="I155" s="115"/>
      <c r="J155" s="115"/>
      <c r="K155" s="115"/>
      <c r="L155" s="115"/>
    </row>
    <row r="156" spans="6:12" ht="15.75" customHeight="1" x14ac:dyDescent="0.2">
      <c r="F156" s="115"/>
      <c r="G156" s="115"/>
      <c r="I156" s="115"/>
      <c r="J156" s="115"/>
      <c r="K156" s="115"/>
      <c r="L156" s="115"/>
    </row>
    <row r="157" spans="6:12" ht="15.75" customHeight="1" x14ac:dyDescent="0.2">
      <c r="F157" s="115"/>
      <c r="G157" s="115"/>
      <c r="I157" s="115"/>
      <c r="J157" s="115"/>
      <c r="K157" s="115"/>
      <c r="L157" s="115"/>
    </row>
    <row r="158" spans="6:12" ht="15.75" customHeight="1" x14ac:dyDescent="0.2">
      <c r="F158" s="115"/>
      <c r="G158" s="115"/>
      <c r="I158" s="115"/>
      <c r="J158" s="115"/>
      <c r="K158" s="115"/>
      <c r="L158" s="115"/>
    </row>
    <row r="159" spans="6:12" ht="15.75" customHeight="1" x14ac:dyDescent="0.2">
      <c r="F159" s="115"/>
      <c r="G159" s="115"/>
      <c r="I159" s="115"/>
      <c r="J159" s="115"/>
      <c r="K159" s="115"/>
      <c r="L159" s="115"/>
    </row>
    <row r="160" spans="6:12" ht="15.75" customHeight="1" x14ac:dyDescent="0.2">
      <c r="F160" s="115"/>
      <c r="G160" s="115"/>
      <c r="I160" s="115"/>
      <c r="J160" s="115"/>
      <c r="K160" s="115"/>
      <c r="L160" s="115"/>
    </row>
    <row r="161" spans="6:12" ht="15.75" customHeight="1" x14ac:dyDescent="0.2">
      <c r="F161" s="115"/>
      <c r="G161" s="115"/>
      <c r="I161" s="115"/>
      <c r="J161" s="115"/>
      <c r="K161" s="115"/>
      <c r="L161" s="115"/>
    </row>
    <row r="162" spans="6:12" ht="15.75" customHeight="1" x14ac:dyDescent="0.2">
      <c r="F162" s="115"/>
      <c r="G162" s="115"/>
      <c r="I162" s="115"/>
      <c r="J162" s="115"/>
      <c r="K162" s="115"/>
      <c r="L162" s="115"/>
    </row>
    <row r="163" spans="6:12" ht="15.75" customHeight="1" x14ac:dyDescent="0.2">
      <c r="F163" s="115"/>
      <c r="G163" s="115"/>
      <c r="I163" s="115"/>
      <c r="J163" s="115"/>
      <c r="K163" s="115"/>
      <c r="L163" s="115"/>
    </row>
    <row r="164" spans="6:12" ht="15.75" customHeight="1" x14ac:dyDescent="0.2">
      <c r="F164" s="115"/>
      <c r="G164" s="115"/>
      <c r="I164" s="115"/>
      <c r="J164" s="115"/>
      <c r="K164" s="115"/>
      <c r="L164" s="115"/>
    </row>
    <row r="165" spans="6:12" ht="15.75" customHeight="1" x14ac:dyDescent="0.2">
      <c r="F165" s="115"/>
      <c r="G165" s="115"/>
      <c r="I165" s="115"/>
      <c r="J165" s="115"/>
      <c r="K165" s="115"/>
      <c r="L165" s="115"/>
    </row>
    <row r="166" spans="6:12" ht="15.75" customHeight="1" x14ac:dyDescent="0.2">
      <c r="F166" s="115"/>
      <c r="G166" s="115"/>
      <c r="I166" s="115"/>
      <c r="J166" s="115"/>
      <c r="K166" s="115"/>
      <c r="L166" s="115"/>
    </row>
    <row r="167" spans="6:12" ht="15.75" customHeight="1" x14ac:dyDescent="0.2">
      <c r="F167" s="115"/>
      <c r="G167" s="115"/>
      <c r="I167" s="115"/>
      <c r="J167" s="115"/>
      <c r="K167" s="115"/>
      <c r="L167" s="115"/>
    </row>
    <row r="168" spans="6:12" ht="15.75" customHeight="1" x14ac:dyDescent="0.2">
      <c r="F168" s="115"/>
      <c r="G168" s="115"/>
      <c r="I168" s="115"/>
      <c r="J168" s="115"/>
      <c r="K168" s="115"/>
      <c r="L168" s="115"/>
    </row>
    <row r="169" spans="6:12" ht="15.75" customHeight="1" x14ac:dyDescent="0.2">
      <c r="F169" s="115"/>
      <c r="G169" s="115"/>
      <c r="I169" s="115"/>
      <c r="J169" s="115"/>
      <c r="K169" s="115"/>
      <c r="L169" s="115"/>
    </row>
    <row r="170" spans="6:12" ht="15.75" customHeight="1" x14ac:dyDescent="0.2">
      <c r="F170" s="115"/>
      <c r="G170" s="115"/>
      <c r="I170" s="115"/>
      <c r="J170" s="115"/>
      <c r="K170" s="115"/>
      <c r="L170" s="115"/>
    </row>
    <row r="171" spans="6:12" ht="15.75" customHeight="1" x14ac:dyDescent="0.2">
      <c r="F171" s="115"/>
      <c r="G171" s="115"/>
      <c r="I171" s="115"/>
      <c r="J171" s="115"/>
      <c r="K171" s="115"/>
      <c r="L171" s="115"/>
    </row>
    <row r="172" spans="6:12" ht="15.75" customHeight="1" x14ac:dyDescent="0.2">
      <c r="F172" s="115"/>
      <c r="G172" s="115"/>
      <c r="I172" s="115"/>
      <c r="J172" s="115"/>
      <c r="K172" s="115"/>
      <c r="L172" s="115"/>
    </row>
    <row r="173" spans="6:12" ht="15.75" customHeight="1" x14ac:dyDescent="0.2">
      <c r="F173" s="115"/>
      <c r="G173" s="115"/>
      <c r="I173" s="115"/>
      <c r="J173" s="115"/>
      <c r="K173" s="115"/>
      <c r="L173" s="115"/>
    </row>
    <row r="174" spans="6:12" ht="15.75" customHeight="1" x14ac:dyDescent="0.2">
      <c r="F174" s="115"/>
      <c r="G174" s="115"/>
      <c r="I174" s="115"/>
      <c r="J174" s="115"/>
      <c r="K174" s="115"/>
      <c r="L174" s="115"/>
    </row>
    <row r="175" spans="6:12" ht="15.75" customHeight="1" x14ac:dyDescent="0.2">
      <c r="F175" s="115"/>
      <c r="G175" s="115"/>
      <c r="I175" s="115"/>
      <c r="J175" s="115"/>
      <c r="K175" s="115"/>
      <c r="L175" s="115"/>
    </row>
    <row r="176" spans="6:12" ht="15.75" customHeight="1" x14ac:dyDescent="0.2">
      <c r="F176" s="115"/>
      <c r="G176" s="115"/>
      <c r="I176" s="115"/>
      <c r="J176" s="115"/>
      <c r="K176" s="115"/>
      <c r="L176" s="115"/>
    </row>
    <row r="177" spans="6:12" ht="15.75" customHeight="1" x14ac:dyDescent="0.2">
      <c r="F177" s="115"/>
      <c r="G177" s="115"/>
      <c r="I177" s="115"/>
      <c r="J177" s="115"/>
      <c r="K177" s="115"/>
      <c r="L177" s="115"/>
    </row>
    <row r="178" spans="6:12" ht="15.75" customHeight="1" x14ac:dyDescent="0.2">
      <c r="F178" s="115"/>
      <c r="G178" s="115"/>
      <c r="I178" s="115"/>
      <c r="J178" s="115"/>
      <c r="K178" s="115"/>
      <c r="L178" s="115"/>
    </row>
    <row r="179" spans="6:12" ht="15.75" customHeight="1" x14ac:dyDescent="0.2">
      <c r="F179" s="115"/>
      <c r="G179" s="115"/>
      <c r="I179" s="115"/>
      <c r="J179" s="115"/>
      <c r="K179" s="115"/>
      <c r="L179" s="115"/>
    </row>
    <row r="180" spans="6:12" ht="15.75" customHeight="1" x14ac:dyDescent="0.2">
      <c r="F180" s="115"/>
      <c r="G180" s="115"/>
      <c r="I180" s="115"/>
      <c r="J180" s="115"/>
      <c r="K180" s="115"/>
      <c r="L180" s="115"/>
    </row>
    <row r="181" spans="6:12" ht="15.75" customHeight="1" x14ac:dyDescent="0.2">
      <c r="F181" s="115"/>
      <c r="G181" s="115"/>
      <c r="I181" s="115"/>
      <c r="J181" s="115"/>
      <c r="K181" s="115"/>
      <c r="L181" s="115"/>
    </row>
    <row r="182" spans="6:12" ht="15.75" customHeight="1" x14ac:dyDescent="0.2">
      <c r="F182" s="115"/>
      <c r="G182" s="115"/>
      <c r="I182" s="115"/>
      <c r="J182" s="115"/>
      <c r="K182" s="115"/>
      <c r="L182" s="115"/>
    </row>
    <row r="183" spans="6:12" ht="15.75" customHeight="1" x14ac:dyDescent="0.2">
      <c r="F183" s="115"/>
      <c r="G183" s="115"/>
      <c r="I183" s="115"/>
      <c r="J183" s="115"/>
      <c r="K183" s="115"/>
      <c r="L183" s="115"/>
    </row>
    <row r="184" spans="6:12" ht="15.75" customHeight="1" x14ac:dyDescent="0.2">
      <c r="F184" s="115"/>
      <c r="G184" s="115"/>
      <c r="I184" s="115"/>
      <c r="J184" s="115"/>
      <c r="K184" s="115"/>
      <c r="L184" s="115"/>
    </row>
    <row r="185" spans="6:12" ht="15.75" customHeight="1" x14ac:dyDescent="0.2">
      <c r="F185" s="115"/>
      <c r="G185" s="115"/>
      <c r="I185" s="115"/>
      <c r="J185" s="115"/>
      <c r="K185" s="115"/>
      <c r="L185" s="115"/>
    </row>
    <row r="186" spans="6:12" ht="15.75" customHeight="1" x14ac:dyDescent="0.2">
      <c r="F186" s="115"/>
      <c r="G186" s="115"/>
      <c r="I186" s="115"/>
      <c r="J186" s="115"/>
      <c r="K186" s="115"/>
      <c r="L186" s="115"/>
    </row>
    <row r="187" spans="6:12" ht="15.75" customHeight="1" x14ac:dyDescent="0.2">
      <c r="F187" s="115"/>
      <c r="G187" s="115"/>
      <c r="I187" s="115"/>
      <c r="J187" s="115"/>
      <c r="K187" s="115"/>
      <c r="L187" s="115"/>
    </row>
    <row r="188" spans="6:12" ht="15.75" customHeight="1" x14ac:dyDescent="0.2">
      <c r="F188" s="115"/>
      <c r="G188" s="115"/>
      <c r="I188" s="115"/>
      <c r="J188" s="115"/>
      <c r="K188" s="115"/>
      <c r="L188" s="115"/>
    </row>
    <row r="189" spans="6:12" ht="15.75" customHeight="1" x14ac:dyDescent="0.2">
      <c r="F189" s="115"/>
      <c r="G189" s="115"/>
      <c r="I189" s="115"/>
      <c r="J189" s="115"/>
      <c r="K189" s="115"/>
      <c r="L189" s="115"/>
    </row>
    <row r="190" spans="6:12" ht="15.75" customHeight="1" x14ac:dyDescent="0.2">
      <c r="F190" s="115"/>
      <c r="G190" s="115"/>
      <c r="I190" s="115"/>
      <c r="J190" s="115"/>
      <c r="K190" s="115"/>
      <c r="L190" s="115"/>
    </row>
    <row r="191" spans="6:12" ht="15.75" customHeight="1" x14ac:dyDescent="0.2">
      <c r="F191" s="115"/>
      <c r="G191" s="115"/>
      <c r="I191" s="115"/>
      <c r="J191" s="115"/>
      <c r="K191" s="115"/>
      <c r="L191" s="115"/>
    </row>
    <row r="192" spans="6:12" ht="15.75" customHeight="1" x14ac:dyDescent="0.2">
      <c r="F192" s="115"/>
      <c r="G192" s="115"/>
      <c r="I192" s="115"/>
      <c r="J192" s="115"/>
      <c r="K192" s="115"/>
      <c r="L192" s="115"/>
    </row>
    <row r="193" spans="6:12" ht="15.75" customHeight="1" x14ac:dyDescent="0.2">
      <c r="F193" s="115"/>
      <c r="G193" s="115"/>
      <c r="I193" s="115"/>
      <c r="J193" s="115"/>
      <c r="K193" s="115"/>
      <c r="L193" s="115"/>
    </row>
    <row r="194" spans="6:12" ht="15.75" customHeight="1" x14ac:dyDescent="0.2">
      <c r="F194" s="115"/>
      <c r="G194" s="115"/>
      <c r="I194" s="115"/>
      <c r="J194" s="115"/>
      <c r="K194" s="115"/>
      <c r="L194" s="115"/>
    </row>
    <row r="195" spans="6:12" ht="15.75" customHeight="1" x14ac:dyDescent="0.2">
      <c r="F195" s="115"/>
      <c r="G195" s="115"/>
      <c r="I195" s="115"/>
      <c r="J195" s="115"/>
      <c r="K195" s="115"/>
      <c r="L195" s="115"/>
    </row>
    <row r="196" spans="6:12" ht="15.75" customHeight="1" x14ac:dyDescent="0.2">
      <c r="F196" s="115"/>
      <c r="G196" s="115"/>
      <c r="I196" s="115"/>
      <c r="J196" s="115"/>
      <c r="K196" s="115"/>
      <c r="L196" s="115"/>
    </row>
    <row r="197" spans="6:12" ht="15.75" customHeight="1" x14ac:dyDescent="0.2">
      <c r="F197" s="115"/>
      <c r="G197" s="115"/>
      <c r="I197" s="115"/>
      <c r="J197" s="115"/>
      <c r="K197" s="115"/>
      <c r="L197" s="115"/>
    </row>
    <row r="198" spans="6:12" ht="15.75" customHeight="1" x14ac:dyDescent="0.2">
      <c r="F198" s="115"/>
      <c r="G198" s="115"/>
      <c r="I198" s="115"/>
      <c r="J198" s="115"/>
      <c r="K198" s="115"/>
      <c r="L198" s="115"/>
    </row>
    <row r="199" spans="6:12" ht="15.75" customHeight="1" x14ac:dyDescent="0.2">
      <c r="F199" s="115"/>
      <c r="G199" s="115"/>
      <c r="I199" s="115"/>
      <c r="J199" s="115"/>
      <c r="K199" s="115"/>
      <c r="L199" s="115"/>
    </row>
    <row r="200" spans="6:12" ht="15.75" customHeight="1" x14ac:dyDescent="0.2">
      <c r="F200" s="115"/>
      <c r="G200" s="115"/>
      <c r="I200" s="115"/>
      <c r="J200" s="115"/>
      <c r="K200" s="115"/>
      <c r="L200" s="115"/>
    </row>
    <row r="201" spans="6:12" ht="15.75" customHeight="1" x14ac:dyDescent="0.2">
      <c r="F201" s="115"/>
      <c r="G201" s="115"/>
      <c r="I201" s="115"/>
      <c r="J201" s="115"/>
      <c r="K201" s="115"/>
      <c r="L201" s="115"/>
    </row>
    <row r="202" spans="6:12" ht="15.75" customHeight="1" x14ac:dyDescent="0.2">
      <c r="F202" s="115"/>
      <c r="G202" s="115"/>
      <c r="I202" s="115"/>
      <c r="J202" s="115"/>
      <c r="K202" s="115"/>
      <c r="L202" s="115"/>
    </row>
    <row r="203" spans="6:12" ht="15.75" customHeight="1" x14ac:dyDescent="0.2">
      <c r="F203" s="115"/>
      <c r="G203" s="115"/>
      <c r="I203" s="115"/>
      <c r="J203" s="115"/>
      <c r="K203" s="115"/>
      <c r="L203" s="115"/>
    </row>
    <row r="204" spans="6:12" ht="15.75" customHeight="1" x14ac:dyDescent="0.2">
      <c r="F204" s="115"/>
      <c r="G204" s="115"/>
      <c r="I204" s="115"/>
      <c r="J204" s="115"/>
      <c r="K204" s="115"/>
      <c r="L204" s="115"/>
    </row>
    <row r="205" spans="6:12" ht="15.75" customHeight="1" x14ac:dyDescent="0.2">
      <c r="F205" s="115"/>
      <c r="G205" s="115"/>
      <c r="I205" s="115"/>
      <c r="J205" s="115"/>
      <c r="K205" s="115"/>
      <c r="L205" s="115"/>
    </row>
    <row r="206" spans="6:12" ht="15.75" customHeight="1" x14ac:dyDescent="0.2">
      <c r="F206" s="115"/>
      <c r="G206" s="115"/>
      <c r="I206" s="115"/>
      <c r="J206" s="115"/>
      <c r="K206" s="115"/>
      <c r="L206" s="115"/>
    </row>
    <row r="207" spans="6:12" ht="15.75" customHeight="1" x14ac:dyDescent="0.2">
      <c r="F207" s="115"/>
      <c r="G207" s="115"/>
      <c r="I207" s="115"/>
      <c r="J207" s="115"/>
      <c r="K207" s="115"/>
      <c r="L207" s="115"/>
    </row>
    <row r="208" spans="6:12" ht="15.75" customHeight="1" x14ac:dyDescent="0.2">
      <c r="F208" s="115"/>
      <c r="G208" s="115"/>
      <c r="I208" s="115"/>
      <c r="J208" s="115"/>
      <c r="K208" s="115"/>
      <c r="L208" s="115"/>
    </row>
    <row r="209" spans="6:12" ht="15.75" customHeight="1" x14ac:dyDescent="0.2">
      <c r="F209" s="115"/>
      <c r="G209" s="115"/>
      <c r="I209" s="115"/>
      <c r="J209" s="115"/>
      <c r="K209" s="115"/>
      <c r="L209" s="115"/>
    </row>
    <row r="210" spans="6:12" ht="15.75" customHeight="1" x14ac:dyDescent="0.2">
      <c r="F210" s="115"/>
      <c r="G210" s="115"/>
      <c r="I210" s="115"/>
      <c r="J210" s="115"/>
      <c r="K210" s="115"/>
      <c r="L210" s="115"/>
    </row>
    <row r="211" spans="6:12" ht="15.75" customHeight="1" x14ac:dyDescent="0.2">
      <c r="F211" s="115"/>
      <c r="G211" s="115"/>
      <c r="I211" s="115"/>
      <c r="J211" s="115"/>
      <c r="K211" s="115"/>
      <c r="L211" s="115"/>
    </row>
    <row r="212" spans="6:12" ht="15.75" customHeight="1" x14ac:dyDescent="0.2">
      <c r="F212" s="115"/>
      <c r="G212" s="115"/>
      <c r="I212" s="115"/>
      <c r="J212" s="115"/>
      <c r="K212" s="115"/>
      <c r="L212" s="115"/>
    </row>
    <row r="213" spans="6:12" ht="15.75" customHeight="1" x14ac:dyDescent="0.2">
      <c r="F213" s="115"/>
      <c r="G213" s="115"/>
      <c r="I213" s="115"/>
      <c r="J213" s="115"/>
      <c r="K213" s="115"/>
      <c r="L213" s="115"/>
    </row>
    <row r="214" spans="6:12" ht="15.75" customHeight="1" x14ac:dyDescent="0.2">
      <c r="F214" s="115"/>
      <c r="G214" s="115"/>
      <c r="I214" s="115"/>
      <c r="J214" s="115"/>
      <c r="K214" s="115"/>
      <c r="L214" s="115"/>
    </row>
    <row r="215" spans="6:12" ht="15.75" customHeight="1" x14ac:dyDescent="0.2">
      <c r="F215" s="115"/>
      <c r="G215" s="115"/>
      <c r="I215" s="115"/>
      <c r="J215" s="115"/>
      <c r="K215" s="115"/>
      <c r="L215" s="115"/>
    </row>
    <row r="216" spans="6:12" ht="15.75" customHeight="1" x14ac:dyDescent="0.2">
      <c r="F216" s="115"/>
      <c r="G216" s="115"/>
      <c r="I216" s="115"/>
      <c r="J216" s="115"/>
      <c r="K216" s="115"/>
      <c r="L216" s="115"/>
    </row>
    <row r="217" spans="6:12" ht="15.75" customHeight="1" x14ac:dyDescent="0.2">
      <c r="F217" s="115"/>
      <c r="G217" s="115"/>
      <c r="I217" s="115"/>
      <c r="J217" s="115"/>
      <c r="K217" s="115"/>
      <c r="L217" s="115"/>
    </row>
    <row r="218" spans="6:12" ht="15.75" customHeight="1" x14ac:dyDescent="0.2">
      <c r="F218" s="115"/>
      <c r="G218" s="115"/>
      <c r="I218" s="115"/>
      <c r="J218" s="115"/>
      <c r="K218" s="115"/>
      <c r="L218" s="115"/>
    </row>
    <row r="219" spans="6:12" ht="15.75" customHeight="1" x14ac:dyDescent="0.2">
      <c r="F219" s="115"/>
      <c r="G219" s="115"/>
      <c r="I219" s="115"/>
      <c r="J219" s="115"/>
      <c r="K219" s="115"/>
      <c r="L219" s="115"/>
    </row>
    <row r="220" spans="6:12" ht="15.75" customHeight="1" x14ac:dyDescent="0.2">
      <c r="F220" s="115"/>
      <c r="G220" s="115"/>
      <c r="I220" s="115"/>
      <c r="J220" s="115"/>
      <c r="K220" s="115"/>
      <c r="L220" s="115"/>
    </row>
    <row r="221" spans="6:12" ht="15.75" customHeight="1" x14ac:dyDescent="0.2">
      <c r="F221" s="115"/>
      <c r="G221" s="115"/>
      <c r="I221" s="115"/>
      <c r="J221" s="115"/>
      <c r="K221" s="115"/>
      <c r="L221" s="115"/>
    </row>
    <row r="222" spans="6:12" ht="15.75" customHeight="1" x14ac:dyDescent="0.2">
      <c r="F222" s="115"/>
      <c r="G222" s="115"/>
      <c r="I222" s="115"/>
      <c r="J222" s="115"/>
      <c r="K222" s="115"/>
      <c r="L222" s="115"/>
    </row>
    <row r="223" spans="6:12" ht="15.75" customHeight="1" x14ac:dyDescent="0.2">
      <c r="F223" s="115"/>
      <c r="G223" s="115"/>
      <c r="I223" s="115"/>
      <c r="J223" s="115"/>
      <c r="K223" s="115"/>
      <c r="L223" s="115"/>
    </row>
    <row r="224" spans="6:12" ht="15.75" customHeight="1" x14ac:dyDescent="0.2">
      <c r="F224" s="115"/>
      <c r="G224" s="115"/>
      <c r="I224" s="115"/>
      <c r="J224" s="115"/>
      <c r="K224" s="115"/>
      <c r="L224" s="115"/>
    </row>
    <row r="225" spans="6:12" ht="15.75" customHeight="1" x14ac:dyDescent="0.2">
      <c r="F225" s="115"/>
      <c r="G225" s="115"/>
      <c r="I225" s="115"/>
      <c r="J225" s="115"/>
      <c r="K225" s="115"/>
      <c r="L225" s="115"/>
    </row>
    <row r="226" spans="6:12" ht="15.75" customHeight="1" x14ac:dyDescent="0.2">
      <c r="F226" s="115"/>
      <c r="G226" s="115"/>
      <c r="I226" s="115"/>
      <c r="J226" s="115"/>
      <c r="K226" s="115"/>
      <c r="L226" s="115"/>
    </row>
    <row r="227" spans="6:12" ht="15.75" customHeight="1" x14ac:dyDescent="0.2">
      <c r="F227" s="115"/>
      <c r="G227" s="115"/>
      <c r="I227" s="115"/>
      <c r="J227" s="115"/>
      <c r="K227" s="115"/>
      <c r="L227" s="115"/>
    </row>
    <row r="228" spans="6:12" ht="15.75" customHeight="1" x14ac:dyDescent="0.2">
      <c r="F228" s="115"/>
      <c r="G228" s="115"/>
      <c r="I228" s="115"/>
      <c r="J228" s="115"/>
      <c r="K228" s="115"/>
      <c r="L228" s="115"/>
    </row>
    <row r="229" spans="6:12" ht="15.75" customHeight="1" x14ac:dyDescent="0.2">
      <c r="F229" s="115"/>
      <c r="G229" s="115"/>
      <c r="I229" s="115"/>
      <c r="J229" s="115"/>
      <c r="K229" s="115"/>
      <c r="L229" s="115"/>
    </row>
    <row r="230" spans="6:12" ht="15.75" customHeight="1" x14ac:dyDescent="0.2">
      <c r="F230" s="115"/>
      <c r="G230" s="115"/>
      <c r="I230" s="115"/>
      <c r="J230" s="115"/>
      <c r="K230" s="115"/>
      <c r="L230" s="115"/>
    </row>
    <row r="231" spans="6:12" ht="15.75" customHeight="1" x14ac:dyDescent="0.2">
      <c r="F231" s="115"/>
      <c r="G231" s="115"/>
      <c r="I231" s="115"/>
      <c r="J231" s="115"/>
      <c r="K231" s="115"/>
      <c r="L231" s="115"/>
    </row>
    <row r="232" spans="6:12" ht="15.75" customHeight="1" x14ac:dyDescent="0.2">
      <c r="F232" s="115"/>
      <c r="G232" s="115"/>
      <c r="I232" s="115"/>
      <c r="J232" s="115"/>
      <c r="K232" s="115"/>
      <c r="L232" s="115"/>
    </row>
    <row r="233" spans="6:12" ht="15.75" customHeight="1" x14ac:dyDescent="0.2">
      <c r="F233" s="115"/>
      <c r="G233" s="115"/>
      <c r="I233" s="115"/>
      <c r="J233" s="115"/>
      <c r="K233" s="115"/>
      <c r="L233" s="115"/>
    </row>
    <row r="234" spans="6:12" ht="15.75" customHeight="1" x14ac:dyDescent="0.2">
      <c r="F234" s="115"/>
      <c r="G234" s="115"/>
      <c r="I234" s="115"/>
      <c r="J234" s="115"/>
      <c r="K234" s="115"/>
      <c r="L234" s="115"/>
    </row>
    <row r="235" spans="6:12" ht="15.75" customHeight="1" x14ac:dyDescent="0.2">
      <c r="F235" s="115"/>
      <c r="G235" s="115"/>
      <c r="I235" s="115"/>
      <c r="J235" s="115"/>
      <c r="K235" s="115"/>
      <c r="L235" s="115"/>
    </row>
    <row r="236" spans="6:12" ht="15.75" customHeight="1" x14ac:dyDescent="0.2">
      <c r="F236" s="115"/>
      <c r="G236" s="115"/>
      <c r="I236" s="115"/>
      <c r="J236" s="115"/>
      <c r="K236" s="115"/>
      <c r="L236" s="115"/>
    </row>
    <row r="237" spans="6:12" ht="15.75" customHeight="1" x14ac:dyDescent="0.2">
      <c r="F237" s="115"/>
      <c r="G237" s="115"/>
      <c r="I237" s="115"/>
      <c r="J237" s="115"/>
      <c r="K237" s="115"/>
      <c r="L237" s="115"/>
    </row>
    <row r="238" spans="6:12" ht="15.75" customHeight="1" x14ac:dyDescent="0.2">
      <c r="F238" s="115"/>
      <c r="G238" s="115"/>
      <c r="I238" s="115"/>
      <c r="J238" s="115"/>
      <c r="K238" s="115"/>
      <c r="L238" s="115"/>
    </row>
    <row r="239" spans="6:12" ht="15.75" customHeight="1" x14ac:dyDescent="0.2">
      <c r="F239" s="115"/>
      <c r="G239" s="115"/>
      <c r="I239" s="115"/>
      <c r="J239" s="115"/>
      <c r="K239" s="115"/>
      <c r="L239" s="115"/>
    </row>
    <row r="240" spans="6:12" ht="15.75" customHeight="1" x14ac:dyDescent="0.2">
      <c r="F240" s="115"/>
      <c r="G240" s="115"/>
      <c r="I240" s="115"/>
      <c r="J240" s="115"/>
      <c r="K240" s="115"/>
      <c r="L240" s="115"/>
    </row>
    <row r="241" spans="6:12" ht="15.75" customHeight="1" x14ac:dyDescent="0.2">
      <c r="F241" s="115"/>
      <c r="G241" s="115"/>
      <c r="I241" s="115"/>
      <c r="J241" s="115"/>
      <c r="K241" s="115"/>
      <c r="L241" s="115"/>
    </row>
    <row r="242" spans="6:12" ht="15.75" customHeight="1" x14ac:dyDescent="0.2">
      <c r="F242" s="115"/>
      <c r="G242" s="115"/>
      <c r="I242" s="115"/>
      <c r="J242" s="115"/>
      <c r="K242" s="115"/>
      <c r="L242" s="115"/>
    </row>
    <row r="243" spans="6:12" ht="15.75" customHeight="1" x14ac:dyDescent="0.2">
      <c r="F243" s="115"/>
      <c r="G243" s="115"/>
      <c r="I243" s="115"/>
      <c r="J243" s="115"/>
      <c r="K243" s="115"/>
      <c r="L243" s="115"/>
    </row>
    <row r="244" spans="6:12" ht="15.75" customHeight="1" x14ac:dyDescent="0.2">
      <c r="F244" s="115"/>
      <c r="G244" s="115"/>
      <c r="I244" s="115"/>
      <c r="J244" s="115"/>
      <c r="K244" s="115"/>
      <c r="L244" s="115"/>
    </row>
    <row r="245" spans="6:12" ht="15.75" customHeight="1" x14ac:dyDescent="0.2">
      <c r="F245" s="115"/>
      <c r="G245" s="115"/>
      <c r="I245" s="115"/>
      <c r="J245" s="115"/>
      <c r="K245" s="115"/>
      <c r="L245" s="115"/>
    </row>
    <row r="246" spans="6:12" ht="15.75" customHeight="1" x14ac:dyDescent="0.2">
      <c r="F246" s="115"/>
      <c r="G246" s="115"/>
      <c r="I246" s="115"/>
      <c r="J246" s="115"/>
      <c r="K246" s="115"/>
      <c r="L246" s="115"/>
    </row>
    <row r="247" spans="6:12" ht="15.75" customHeight="1" x14ac:dyDescent="0.2">
      <c r="F247" s="115"/>
      <c r="G247" s="115"/>
      <c r="I247" s="115"/>
      <c r="J247" s="115"/>
      <c r="K247" s="115"/>
      <c r="L247" s="115"/>
    </row>
    <row r="248" spans="6:12" ht="15.75" customHeight="1" x14ac:dyDescent="0.2">
      <c r="F248" s="115"/>
      <c r="G248" s="115"/>
      <c r="I248" s="115"/>
      <c r="J248" s="115"/>
      <c r="K248" s="115"/>
      <c r="L248" s="115"/>
    </row>
    <row r="249" spans="6:12" ht="15.75" customHeight="1" x14ac:dyDescent="0.2">
      <c r="F249" s="115"/>
      <c r="G249" s="115"/>
      <c r="I249" s="115"/>
      <c r="J249" s="115"/>
      <c r="K249" s="115"/>
      <c r="L249" s="115"/>
    </row>
    <row r="250" spans="6:12" ht="15.75" customHeight="1" x14ac:dyDescent="0.2">
      <c r="F250" s="115"/>
      <c r="G250" s="115"/>
      <c r="I250" s="115"/>
      <c r="J250" s="115"/>
      <c r="K250" s="115"/>
      <c r="L250" s="115"/>
    </row>
    <row r="251" spans="6:12" ht="15.75" customHeight="1" x14ac:dyDescent="0.2">
      <c r="F251" s="115"/>
      <c r="G251" s="115"/>
      <c r="I251" s="115"/>
      <c r="J251" s="115"/>
      <c r="K251" s="115"/>
      <c r="L251" s="115"/>
    </row>
    <row r="252" spans="6:12" ht="15.75" customHeight="1" x14ac:dyDescent="0.2">
      <c r="F252" s="115"/>
      <c r="G252" s="115"/>
      <c r="I252" s="115"/>
      <c r="J252" s="115"/>
      <c r="K252" s="115"/>
      <c r="L252" s="115"/>
    </row>
    <row r="253" spans="6:12" ht="15.75" customHeight="1" x14ac:dyDescent="0.2">
      <c r="F253" s="115"/>
      <c r="G253" s="115"/>
      <c r="I253" s="115"/>
      <c r="J253" s="115"/>
      <c r="K253" s="115"/>
      <c r="L253" s="115"/>
    </row>
    <row r="254" spans="6:12" ht="15.75" customHeight="1" x14ac:dyDescent="0.2">
      <c r="F254" s="115"/>
      <c r="G254" s="115"/>
      <c r="I254" s="115"/>
      <c r="J254" s="115"/>
      <c r="K254" s="115"/>
      <c r="L254" s="115"/>
    </row>
    <row r="255" spans="6:12" ht="15.75" customHeight="1" x14ac:dyDescent="0.2">
      <c r="F255" s="115"/>
      <c r="G255" s="115"/>
      <c r="I255" s="115"/>
      <c r="J255" s="115"/>
      <c r="K255" s="115"/>
      <c r="L255" s="115"/>
    </row>
    <row r="256" spans="6:12" ht="15.75" customHeight="1" x14ac:dyDescent="0.2">
      <c r="F256" s="115"/>
      <c r="G256" s="115"/>
      <c r="I256" s="115"/>
      <c r="J256" s="115"/>
      <c r="K256" s="115"/>
      <c r="L256" s="115"/>
    </row>
    <row r="257" spans="6:12" ht="15.75" customHeight="1" x14ac:dyDescent="0.2">
      <c r="F257" s="115"/>
      <c r="G257" s="115"/>
      <c r="I257" s="115"/>
      <c r="J257" s="115"/>
      <c r="K257" s="115"/>
      <c r="L257" s="115"/>
    </row>
    <row r="258" spans="6:12" ht="15.75" customHeight="1" x14ac:dyDescent="0.2">
      <c r="F258" s="115"/>
      <c r="G258" s="115"/>
      <c r="I258" s="115"/>
      <c r="J258" s="115"/>
      <c r="K258" s="115"/>
      <c r="L258" s="115"/>
    </row>
    <row r="259" spans="6:12" ht="15.75" customHeight="1" x14ac:dyDescent="0.2">
      <c r="F259" s="115"/>
      <c r="G259" s="115"/>
      <c r="I259" s="115"/>
      <c r="J259" s="115"/>
      <c r="K259" s="115"/>
      <c r="L259" s="115"/>
    </row>
    <row r="260" spans="6:12" ht="15.75" customHeight="1" x14ac:dyDescent="0.2">
      <c r="F260" s="115"/>
      <c r="G260" s="115"/>
      <c r="I260" s="115"/>
      <c r="J260" s="115"/>
      <c r="K260" s="115"/>
      <c r="L260" s="115"/>
    </row>
    <row r="261" spans="6:12" ht="15.75" customHeight="1" x14ac:dyDescent="0.2">
      <c r="F261" s="115"/>
      <c r="G261" s="115"/>
      <c r="I261" s="115"/>
      <c r="J261" s="115"/>
      <c r="K261" s="115"/>
      <c r="L261" s="115"/>
    </row>
    <row r="262" spans="6:12" ht="15.75" customHeight="1" x14ac:dyDescent="0.2">
      <c r="F262" s="115"/>
      <c r="G262" s="115"/>
      <c r="I262" s="115"/>
      <c r="J262" s="115"/>
      <c r="K262" s="115"/>
      <c r="L262" s="115"/>
    </row>
    <row r="263" spans="6:12" ht="15.75" customHeight="1" x14ac:dyDescent="0.2">
      <c r="F263" s="115"/>
      <c r="G263" s="115"/>
      <c r="I263" s="115"/>
      <c r="J263" s="115"/>
      <c r="K263" s="115"/>
      <c r="L263" s="115"/>
    </row>
    <row r="264" spans="6:12" ht="15.75" customHeight="1" x14ac:dyDescent="0.2">
      <c r="F264" s="115"/>
      <c r="G264" s="115"/>
      <c r="I264" s="115"/>
      <c r="J264" s="115"/>
      <c r="K264" s="115"/>
      <c r="L264" s="115"/>
    </row>
    <row r="265" spans="6:12" ht="15.75" customHeight="1" x14ac:dyDescent="0.2">
      <c r="F265" s="115"/>
      <c r="G265" s="115"/>
      <c r="I265" s="115"/>
      <c r="J265" s="115"/>
      <c r="K265" s="115"/>
      <c r="L265" s="115"/>
    </row>
    <row r="266" spans="6:12" ht="15.75" customHeight="1" x14ac:dyDescent="0.2">
      <c r="F266" s="115"/>
      <c r="G266" s="115"/>
      <c r="I266" s="115"/>
      <c r="J266" s="115"/>
      <c r="K266" s="115"/>
      <c r="L266" s="115"/>
    </row>
    <row r="267" spans="6:12" ht="15.75" customHeight="1" x14ac:dyDescent="0.2">
      <c r="F267" s="115"/>
      <c r="G267" s="115"/>
      <c r="I267" s="115"/>
      <c r="J267" s="115"/>
      <c r="K267" s="115"/>
      <c r="L267" s="115"/>
    </row>
    <row r="268" spans="6:12" ht="15.75" customHeight="1" x14ac:dyDescent="0.2">
      <c r="F268" s="115"/>
      <c r="G268" s="115"/>
      <c r="I268" s="115"/>
      <c r="J268" s="115"/>
      <c r="K268" s="115"/>
      <c r="L268" s="115"/>
    </row>
    <row r="269" spans="6:12" ht="15.75" customHeight="1" x14ac:dyDescent="0.2">
      <c r="F269" s="115"/>
      <c r="G269" s="115"/>
      <c r="I269" s="115"/>
      <c r="J269" s="115"/>
      <c r="K269" s="115"/>
      <c r="L269" s="115"/>
    </row>
    <row r="270" spans="6:12" ht="15.75" customHeight="1" x14ac:dyDescent="0.2">
      <c r="F270" s="115"/>
      <c r="G270" s="115"/>
      <c r="I270" s="115"/>
      <c r="J270" s="115"/>
      <c r="K270" s="115"/>
      <c r="L270" s="115"/>
    </row>
    <row r="271" spans="6:12" ht="15.75" customHeight="1" x14ac:dyDescent="0.2">
      <c r="F271" s="115"/>
      <c r="G271" s="115"/>
      <c r="I271" s="115"/>
      <c r="J271" s="115"/>
      <c r="K271" s="115"/>
      <c r="L271" s="115"/>
    </row>
    <row r="272" spans="6:12" ht="15.75" customHeight="1" x14ac:dyDescent="0.2">
      <c r="F272" s="115"/>
      <c r="G272" s="115"/>
      <c r="I272" s="115"/>
      <c r="J272" s="115"/>
      <c r="K272" s="115"/>
      <c r="L272" s="115"/>
    </row>
    <row r="273" spans="6:12" ht="15.75" customHeight="1" x14ac:dyDescent="0.2">
      <c r="F273" s="115"/>
      <c r="G273" s="115"/>
      <c r="I273" s="115"/>
      <c r="J273" s="115"/>
      <c r="K273" s="115"/>
      <c r="L273" s="115"/>
    </row>
    <row r="274" spans="6:12" ht="15.75" customHeight="1" x14ac:dyDescent="0.2">
      <c r="F274" s="115"/>
      <c r="G274" s="115"/>
      <c r="I274" s="115"/>
      <c r="J274" s="115"/>
      <c r="K274" s="115"/>
      <c r="L274" s="115"/>
    </row>
    <row r="275" spans="6:12" ht="15.75" customHeight="1" x14ac:dyDescent="0.2">
      <c r="F275" s="115"/>
      <c r="G275" s="115"/>
      <c r="I275" s="115"/>
      <c r="J275" s="115"/>
      <c r="K275" s="115"/>
      <c r="L275" s="115"/>
    </row>
    <row r="276" spans="6:12" ht="15.75" customHeight="1" x14ac:dyDescent="0.2">
      <c r="F276" s="115"/>
      <c r="G276" s="115"/>
      <c r="I276" s="115"/>
      <c r="J276" s="115"/>
      <c r="K276" s="115"/>
      <c r="L276" s="115"/>
    </row>
    <row r="277" spans="6:12" ht="15.75" customHeight="1" x14ac:dyDescent="0.2">
      <c r="F277" s="115"/>
      <c r="G277" s="115"/>
      <c r="I277" s="115"/>
      <c r="J277" s="115"/>
      <c r="K277" s="115"/>
      <c r="L277" s="115"/>
    </row>
    <row r="278" spans="6:12" ht="15.75" customHeight="1" x14ac:dyDescent="0.2">
      <c r="F278" s="115"/>
      <c r="G278" s="115"/>
      <c r="I278" s="115"/>
      <c r="J278" s="115"/>
      <c r="K278" s="115"/>
      <c r="L278" s="115"/>
    </row>
    <row r="279" spans="6:12" ht="15.75" customHeight="1" x14ac:dyDescent="0.2">
      <c r="F279" s="115"/>
      <c r="G279" s="115"/>
      <c r="I279" s="115"/>
      <c r="J279" s="115"/>
      <c r="K279" s="115"/>
      <c r="L279" s="115"/>
    </row>
    <row r="280" spans="6:12" ht="15.75" customHeight="1" x14ac:dyDescent="0.2">
      <c r="F280" s="115"/>
      <c r="G280" s="115"/>
      <c r="I280" s="115"/>
      <c r="J280" s="115"/>
      <c r="K280" s="115"/>
      <c r="L280" s="115"/>
    </row>
    <row r="281" spans="6:12" ht="15.75" customHeight="1" x14ac:dyDescent="0.2">
      <c r="F281" s="115"/>
      <c r="G281" s="115"/>
      <c r="I281" s="115"/>
      <c r="J281" s="115"/>
      <c r="K281" s="115"/>
      <c r="L281" s="115"/>
    </row>
    <row r="282" spans="6:12" ht="15.75" customHeight="1" x14ac:dyDescent="0.2">
      <c r="F282" s="115"/>
      <c r="G282" s="115"/>
      <c r="I282" s="115"/>
      <c r="J282" s="115"/>
      <c r="K282" s="115"/>
      <c r="L282" s="115"/>
    </row>
    <row r="283" spans="6:12" ht="15.75" customHeight="1" x14ac:dyDescent="0.2">
      <c r="F283" s="115"/>
      <c r="G283" s="115"/>
      <c r="I283" s="115"/>
      <c r="J283" s="115"/>
      <c r="K283" s="115"/>
      <c r="L283" s="115"/>
    </row>
    <row r="284" spans="6:12" ht="15.75" customHeight="1" x14ac:dyDescent="0.2">
      <c r="F284" s="115"/>
      <c r="G284" s="115"/>
      <c r="I284" s="115"/>
      <c r="J284" s="115"/>
      <c r="K284" s="115"/>
      <c r="L284" s="115"/>
    </row>
    <row r="285" spans="6:12" ht="15.75" customHeight="1" x14ac:dyDescent="0.2">
      <c r="F285" s="115"/>
      <c r="G285" s="115"/>
      <c r="I285" s="115"/>
      <c r="J285" s="115"/>
      <c r="K285" s="115"/>
      <c r="L285" s="115"/>
    </row>
    <row r="286" spans="6:12" ht="15.75" customHeight="1" x14ac:dyDescent="0.2">
      <c r="F286" s="115"/>
      <c r="G286" s="115"/>
      <c r="I286" s="115"/>
      <c r="J286" s="115"/>
      <c r="K286" s="115"/>
      <c r="L286" s="115"/>
    </row>
    <row r="287" spans="6:12" ht="15.75" customHeight="1" x14ac:dyDescent="0.2">
      <c r="F287" s="115"/>
      <c r="G287" s="115"/>
      <c r="I287" s="115"/>
      <c r="J287" s="115"/>
      <c r="K287" s="115"/>
      <c r="L287" s="115"/>
    </row>
    <row r="288" spans="6:12" ht="15.75" customHeight="1" x14ac:dyDescent="0.2">
      <c r="F288" s="115"/>
      <c r="G288" s="115"/>
      <c r="I288" s="115"/>
      <c r="J288" s="115"/>
      <c r="K288" s="115"/>
      <c r="L288" s="115"/>
    </row>
    <row r="289" spans="6:12" ht="15.75" customHeight="1" x14ac:dyDescent="0.2">
      <c r="F289" s="115"/>
      <c r="G289" s="115"/>
      <c r="I289" s="115"/>
      <c r="J289" s="115"/>
      <c r="K289" s="115"/>
      <c r="L289" s="115"/>
    </row>
    <row r="290" spans="6:12" ht="15.75" customHeight="1" x14ac:dyDescent="0.2">
      <c r="F290" s="115"/>
      <c r="G290" s="115"/>
      <c r="I290" s="115"/>
      <c r="J290" s="115"/>
      <c r="K290" s="115"/>
      <c r="L290" s="115"/>
    </row>
    <row r="291" spans="6:12" ht="15.75" customHeight="1" x14ac:dyDescent="0.2">
      <c r="F291" s="115"/>
      <c r="G291" s="115"/>
      <c r="I291" s="115"/>
      <c r="J291" s="115"/>
      <c r="K291" s="115"/>
      <c r="L291" s="115"/>
    </row>
    <row r="292" spans="6:12" ht="15.75" customHeight="1" x14ac:dyDescent="0.2">
      <c r="F292" s="115"/>
      <c r="G292" s="115"/>
      <c r="I292" s="115"/>
      <c r="J292" s="115"/>
      <c r="K292" s="115"/>
      <c r="L292" s="115"/>
    </row>
    <row r="293" spans="6:12" ht="15.75" customHeight="1" x14ac:dyDescent="0.2">
      <c r="F293" s="115"/>
      <c r="G293" s="115"/>
      <c r="I293" s="115"/>
      <c r="J293" s="115"/>
      <c r="K293" s="115"/>
      <c r="L293" s="115"/>
    </row>
    <row r="294" spans="6:12" ht="15.75" customHeight="1" x14ac:dyDescent="0.2">
      <c r="F294" s="115"/>
      <c r="G294" s="115"/>
      <c r="I294" s="115"/>
      <c r="J294" s="115"/>
      <c r="K294" s="115"/>
      <c r="L294" s="115"/>
    </row>
    <row r="295" spans="6:12" ht="15.75" customHeight="1" x14ac:dyDescent="0.2">
      <c r="F295" s="115"/>
      <c r="G295" s="115"/>
      <c r="I295" s="115"/>
      <c r="J295" s="115"/>
      <c r="K295" s="115"/>
      <c r="L295" s="115"/>
    </row>
    <row r="296" spans="6:12" ht="15.75" customHeight="1" x14ac:dyDescent="0.2">
      <c r="F296" s="115"/>
      <c r="G296" s="115"/>
      <c r="I296" s="115"/>
      <c r="J296" s="115"/>
      <c r="K296" s="115"/>
      <c r="L296" s="115"/>
    </row>
    <row r="297" spans="6:12" ht="15.75" customHeight="1" x14ac:dyDescent="0.2">
      <c r="F297" s="115"/>
      <c r="G297" s="115"/>
      <c r="I297" s="115"/>
      <c r="J297" s="115"/>
      <c r="K297" s="115"/>
      <c r="L297" s="115"/>
    </row>
    <row r="298" spans="6:12" ht="15.75" customHeight="1" x14ac:dyDescent="0.2">
      <c r="F298" s="115"/>
      <c r="G298" s="115"/>
      <c r="I298" s="115"/>
      <c r="J298" s="115"/>
      <c r="K298" s="115"/>
      <c r="L298" s="115"/>
    </row>
    <row r="299" spans="6:12" ht="15.75" customHeight="1" x14ac:dyDescent="0.2">
      <c r="F299" s="115"/>
      <c r="G299" s="115"/>
      <c r="I299" s="115"/>
      <c r="J299" s="115"/>
      <c r="K299" s="115"/>
      <c r="L299" s="115"/>
    </row>
    <row r="300" spans="6:12" ht="15.75" customHeight="1" x14ac:dyDescent="0.2">
      <c r="F300" s="115"/>
      <c r="G300" s="115"/>
      <c r="I300" s="115"/>
      <c r="J300" s="115"/>
      <c r="K300" s="115"/>
      <c r="L300" s="115"/>
    </row>
    <row r="301" spans="6:12" ht="15.75" customHeight="1" x14ac:dyDescent="0.2">
      <c r="F301" s="115"/>
      <c r="G301" s="115"/>
      <c r="I301" s="115"/>
      <c r="J301" s="115"/>
      <c r="K301" s="115"/>
      <c r="L301" s="115"/>
    </row>
    <row r="302" spans="6:12" ht="15.75" customHeight="1" x14ac:dyDescent="0.2">
      <c r="F302" s="115"/>
      <c r="G302" s="115"/>
      <c r="I302" s="115"/>
      <c r="J302" s="115"/>
      <c r="K302" s="115"/>
      <c r="L302" s="115"/>
    </row>
    <row r="303" spans="6:12" ht="15.75" customHeight="1" x14ac:dyDescent="0.2">
      <c r="F303" s="115"/>
      <c r="G303" s="115"/>
      <c r="I303" s="115"/>
      <c r="J303" s="115"/>
      <c r="K303" s="115"/>
      <c r="L303" s="115"/>
    </row>
    <row r="304" spans="6:12" ht="15.75" customHeight="1" x14ac:dyDescent="0.2">
      <c r="F304" s="115"/>
      <c r="G304" s="115"/>
      <c r="I304" s="115"/>
      <c r="J304" s="115"/>
      <c r="K304" s="115"/>
      <c r="L304" s="115"/>
    </row>
    <row r="305" spans="6:12" ht="15.75" customHeight="1" x14ac:dyDescent="0.2">
      <c r="F305" s="115"/>
      <c r="G305" s="115"/>
      <c r="I305" s="115"/>
      <c r="J305" s="115"/>
      <c r="K305" s="115"/>
      <c r="L305" s="115"/>
    </row>
    <row r="306" spans="6:12" ht="15.75" customHeight="1" x14ac:dyDescent="0.2">
      <c r="F306" s="115"/>
      <c r="G306" s="115"/>
      <c r="I306" s="115"/>
      <c r="J306" s="115"/>
      <c r="K306" s="115"/>
      <c r="L306" s="115"/>
    </row>
    <row r="307" spans="6:12" ht="15.75" customHeight="1" x14ac:dyDescent="0.2">
      <c r="F307" s="115"/>
      <c r="G307" s="115"/>
      <c r="I307" s="115"/>
      <c r="J307" s="115"/>
      <c r="K307" s="115"/>
      <c r="L307" s="115"/>
    </row>
    <row r="308" spans="6:12" ht="15.75" customHeight="1" x14ac:dyDescent="0.2">
      <c r="F308" s="115"/>
      <c r="G308" s="115"/>
      <c r="I308" s="115"/>
      <c r="J308" s="115"/>
      <c r="K308" s="115"/>
      <c r="L308" s="115"/>
    </row>
    <row r="309" spans="6:12" ht="15.75" customHeight="1" x14ac:dyDescent="0.2">
      <c r="F309" s="115"/>
      <c r="G309" s="115"/>
      <c r="I309" s="115"/>
      <c r="J309" s="115"/>
      <c r="K309" s="115"/>
      <c r="L309" s="115"/>
    </row>
    <row r="310" spans="6:12" ht="15.75" customHeight="1" x14ac:dyDescent="0.2">
      <c r="F310" s="115"/>
      <c r="G310" s="115"/>
      <c r="I310" s="115"/>
      <c r="J310" s="115"/>
      <c r="K310" s="115"/>
      <c r="L310" s="115"/>
    </row>
    <row r="311" spans="6:12" ht="15.75" customHeight="1" x14ac:dyDescent="0.2">
      <c r="F311" s="115"/>
      <c r="G311" s="115"/>
      <c r="I311" s="115"/>
      <c r="J311" s="115"/>
      <c r="K311" s="115"/>
      <c r="L311" s="115"/>
    </row>
    <row r="312" spans="6:12" ht="15.75" customHeight="1" x14ac:dyDescent="0.2">
      <c r="F312" s="115"/>
      <c r="G312" s="115"/>
      <c r="I312" s="115"/>
      <c r="J312" s="115"/>
      <c r="K312" s="115"/>
      <c r="L312" s="115"/>
    </row>
    <row r="313" spans="6:12" ht="15.75" customHeight="1" x14ac:dyDescent="0.2">
      <c r="F313" s="115"/>
      <c r="G313" s="115"/>
      <c r="I313" s="115"/>
      <c r="J313" s="115"/>
      <c r="K313" s="115"/>
      <c r="L313" s="115"/>
    </row>
    <row r="314" spans="6:12" ht="15.75" customHeight="1" x14ac:dyDescent="0.2">
      <c r="F314" s="115"/>
      <c r="G314" s="115"/>
      <c r="I314" s="115"/>
      <c r="J314" s="115"/>
      <c r="K314" s="115"/>
      <c r="L314" s="115"/>
    </row>
    <row r="315" spans="6:12" ht="15.75" customHeight="1" x14ac:dyDescent="0.2">
      <c r="F315" s="115"/>
      <c r="G315" s="115"/>
      <c r="I315" s="115"/>
      <c r="J315" s="115"/>
      <c r="K315" s="115"/>
      <c r="L315" s="115"/>
    </row>
    <row r="316" spans="6:12" ht="15.75" customHeight="1" x14ac:dyDescent="0.2">
      <c r="F316" s="115"/>
      <c r="G316" s="115"/>
      <c r="I316" s="115"/>
      <c r="J316" s="115"/>
      <c r="K316" s="115"/>
      <c r="L316" s="115"/>
    </row>
    <row r="317" spans="6:12" ht="15.75" customHeight="1" x14ac:dyDescent="0.2">
      <c r="F317" s="115"/>
      <c r="G317" s="115"/>
      <c r="I317" s="115"/>
      <c r="J317" s="115"/>
      <c r="K317" s="115"/>
      <c r="L317" s="115"/>
    </row>
    <row r="318" spans="6:12" ht="15.75" customHeight="1" x14ac:dyDescent="0.2">
      <c r="F318" s="115"/>
      <c r="G318" s="115"/>
      <c r="I318" s="115"/>
      <c r="J318" s="115"/>
      <c r="K318" s="115"/>
      <c r="L318" s="115"/>
    </row>
    <row r="319" spans="6:12" ht="15.75" customHeight="1" x14ac:dyDescent="0.2">
      <c r="F319" s="115"/>
      <c r="G319" s="115"/>
      <c r="I319" s="115"/>
      <c r="J319" s="115"/>
      <c r="K319" s="115"/>
      <c r="L319" s="115"/>
    </row>
    <row r="320" spans="6:12" ht="15.75" customHeight="1" x14ac:dyDescent="0.2">
      <c r="F320" s="115"/>
      <c r="G320" s="115"/>
      <c r="I320" s="115"/>
      <c r="J320" s="115"/>
      <c r="K320" s="115"/>
      <c r="L320" s="115"/>
    </row>
    <row r="321" spans="6:12" ht="15.75" customHeight="1" x14ac:dyDescent="0.2">
      <c r="F321" s="115"/>
      <c r="G321" s="115"/>
      <c r="I321" s="115"/>
      <c r="J321" s="115"/>
      <c r="K321" s="115"/>
      <c r="L321" s="115"/>
    </row>
    <row r="322" spans="6:12" ht="15.75" customHeight="1" x14ac:dyDescent="0.2">
      <c r="F322" s="115"/>
      <c r="G322" s="115"/>
      <c r="I322" s="115"/>
      <c r="J322" s="115"/>
      <c r="K322" s="115"/>
      <c r="L322" s="115"/>
    </row>
    <row r="323" spans="6:12" ht="15.75" customHeight="1" x14ac:dyDescent="0.2">
      <c r="F323" s="115"/>
      <c r="G323" s="115"/>
      <c r="I323" s="115"/>
      <c r="J323" s="115"/>
      <c r="K323" s="115"/>
      <c r="L323" s="115"/>
    </row>
    <row r="324" spans="6:12" ht="15.75" customHeight="1" x14ac:dyDescent="0.2">
      <c r="F324" s="115"/>
      <c r="G324" s="115"/>
      <c r="I324" s="115"/>
      <c r="J324" s="115"/>
      <c r="K324" s="115"/>
      <c r="L324" s="115"/>
    </row>
    <row r="325" spans="6:12" ht="15.75" customHeight="1" x14ac:dyDescent="0.2">
      <c r="F325" s="115"/>
      <c r="G325" s="115"/>
      <c r="I325" s="115"/>
      <c r="J325" s="115"/>
      <c r="K325" s="115"/>
      <c r="L325" s="115"/>
    </row>
    <row r="326" spans="6:12" ht="15.75" customHeight="1" x14ac:dyDescent="0.2">
      <c r="F326" s="115"/>
      <c r="G326" s="115"/>
      <c r="I326" s="115"/>
      <c r="J326" s="115"/>
      <c r="K326" s="115"/>
      <c r="L326" s="115"/>
    </row>
    <row r="327" spans="6:12" ht="15.75" customHeight="1" x14ac:dyDescent="0.2">
      <c r="F327" s="115"/>
      <c r="G327" s="115"/>
      <c r="I327" s="115"/>
      <c r="J327" s="115"/>
      <c r="K327" s="115"/>
      <c r="L327" s="115"/>
    </row>
    <row r="328" spans="6:12" ht="15.75" customHeight="1" x14ac:dyDescent="0.2">
      <c r="F328" s="115"/>
      <c r="G328" s="115"/>
      <c r="I328" s="115"/>
      <c r="J328" s="115"/>
      <c r="K328" s="115"/>
      <c r="L328" s="115"/>
    </row>
    <row r="329" spans="6:12" ht="15.75" customHeight="1" x14ac:dyDescent="0.2">
      <c r="F329" s="115"/>
      <c r="G329" s="115"/>
      <c r="I329" s="115"/>
      <c r="J329" s="115"/>
      <c r="K329" s="115"/>
      <c r="L329" s="115"/>
    </row>
    <row r="330" spans="6:12" ht="15.75" customHeight="1" x14ac:dyDescent="0.2">
      <c r="F330" s="115"/>
      <c r="G330" s="115"/>
      <c r="I330" s="115"/>
      <c r="J330" s="115"/>
      <c r="K330" s="115"/>
      <c r="L330" s="115"/>
    </row>
    <row r="331" spans="6:12" ht="15.75" customHeight="1" x14ac:dyDescent="0.2">
      <c r="F331" s="115"/>
      <c r="G331" s="115"/>
      <c r="I331" s="115"/>
      <c r="J331" s="115"/>
      <c r="K331" s="115"/>
      <c r="L331" s="115"/>
    </row>
    <row r="332" spans="6:12" ht="15.75" customHeight="1" x14ac:dyDescent="0.2">
      <c r="F332" s="115"/>
      <c r="G332" s="115"/>
      <c r="I332" s="115"/>
      <c r="J332" s="115"/>
      <c r="K332" s="115"/>
      <c r="L332" s="115"/>
    </row>
    <row r="333" spans="6:12" ht="15.75" customHeight="1" x14ac:dyDescent="0.2">
      <c r="F333" s="115"/>
      <c r="G333" s="115"/>
      <c r="I333" s="115"/>
      <c r="J333" s="115"/>
      <c r="K333" s="115"/>
      <c r="L333" s="115"/>
    </row>
    <row r="334" spans="6:12" ht="15.75" customHeight="1" x14ac:dyDescent="0.2">
      <c r="F334" s="115"/>
      <c r="G334" s="115"/>
      <c r="I334" s="115"/>
      <c r="J334" s="115"/>
      <c r="K334" s="115"/>
      <c r="L334" s="115"/>
    </row>
    <row r="335" spans="6:12" ht="15.75" customHeight="1" x14ac:dyDescent="0.2">
      <c r="F335" s="115"/>
      <c r="G335" s="115"/>
      <c r="I335" s="115"/>
      <c r="J335" s="115"/>
      <c r="K335" s="115"/>
      <c r="L335" s="115"/>
    </row>
    <row r="336" spans="6:12" ht="15.75" customHeight="1" x14ac:dyDescent="0.2">
      <c r="F336" s="115"/>
      <c r="G336" s="115"/>
      <c r="I336" s="115"/>
      <c r="J336" s="115"/>
      <c r="K336" s="115"/>
      <c r="L336" s="115"/>
    </row>
    <row r="337" spans="6:12" ht="15.75" customHeight="1" x14ac:dyDescent="0.2">
      <c r="F337" s="115"/>
      <c r="G337" s="115"/>
      <c r="I337" s="115"/>
      <c r="J337" s="115"/>
      <c r="K337" s="115"/>
      <c r="L337" s="115"/>
    </row>
    <row r="338" spans="6:12" ht="15.75" customHeight="1" x14ac:dyDescent="0.2">
      <c r="F338" s="115"/>
      <c r="G338" s="115"/>
      <c r="I338" s="115"/>
      <c r="J338" s="115"/>
      <c r="K338" s="115"/>
      <c r="L338" s="115"/>
    </row>
    <row r="339" spans="6:12" ht="15.75" customHeight="1" x14ac:dyDescent="0.2">
      <c r="F339" s="115"/>
      <c r="G339" s="115"/>
      <c r="I339" s="115"/>
      <c r="J339" s="115"/>
      <c r="K339" s="115"/>
      <c r="L339" s="115"/>
    </row>
    <row r="340" spans="6:12" ht="15.75" customHeight="1" x14ac:dyDescent="0.2">
      <c r="F340" s="115"/>
      <c r="G340" s="115"/>
      <c r="I340" s="115"/>
      <c r="J340" s="115"/>
      <c r="K340" s="115"/>
      <c r="L340" s="115"/>
    </row>
    <row r="341" spans="6:12" ht="15.75" customHeight="1" x14ac:dyDescent="0.2">
      <c r="F341" s="115"/>
      <c r="G341" s="115"/>
      <c r="I341" s="115"/>
      <c r="J341" s="115"/>
      <c r="K341" s="115"/>
      <c r="L341" s="115"/>
    </row>
    <row r="342" spans="6:12" ht="15.75" customHeight="1" x14ac:dyDescent="0.2">
      <c r="F342" s="115"/>
      <c r="G342" s="115"/>
      <c r="I342" s="115"/>
      <c r="J342" s="115"/>
      <c r="K342" s="115"/>
      <c r="L342" s="115"/>
    </row>
    <row r="343" spans="6:12" ht="15.75" customHeight="1" x14ac:dyDescent="0.2">
      <c r="F343" s="115"/>
      <c r="G343" s="115"/>
      <c r="I343" s="115"/>
      <c r="J343" s="115"/>
      <c r="K343" s="115"/>
      <c r="L343" s="115"/>
    </row>
    <row r="344" spans="6:12" ht="15.75" customHeight="1" x14ac:dyDescent="0.2">
      <c r="F344" s="115"/>
      <c r="G344" s="115"/>
      <c r="I344" s="115"/>
      <c r="J344" s="115"/>
      <c r="K344" s="115"/>
      <c r="L344" s="115"/>
    </row>
    <row r="345" spans="6:12" ht="15.75" customHeight="1" x14ac:dyDescent="0.2">
      <c r="F345" s="115"/>
      <c r="G345" s="115"/>
      <c r="I345" s="115"/>
      <c r="J345" s="115"/>
      <c r="K345" s="115"/>
      <c r="L345" s="115"/>
    </row>
    <row r="346" spans="6:12" ht="15.75" customHeight="1" x14ac:dyDescent="0.2">
      <c r="F346" s="115"/>
      <c r="G346" s="115"/>
      <c r="I346" s="115"/>
      <c r="J346" s="115"/>
      <c r="K346" s="115"/>
      <c r="L346" s="115"/>
    </row>
    <row r="347" spans="6:12" ht="15.75" customHeight="1" x14ac:dyDescent="0.2">
      <c r="F347" s="115"/>
      <c r="G347" s="115"/>
      <c r="I347" s="115"/>
      <c r="J347" s="115"/>
      <c r="K347" s="115"/>
      <c r="L347" s="115"/>
    </row>
    <row r="348" spans="6:12" ht="15.75" customHeight="1" x14ac:dyDescent="0.2">
      <c r="F348" s="115"/>
      <c r="G348" s="115"/>
      <c r="I348" s="115"/>
      <c r="J348" s="115"/>
      <c r="K348" s="115"/>
      <c r="L348" s="115"/>
    </row>
    <row r="349" spans="6:12" ht="15.75" customHeight="1" x14ac:dyDescent="0.2">
      <c r="F349" s="115"/>
      <c r="G349" s="115"/>
      <c r="I349" s="115"/>
      <c r="J349" s="115"/>
      <c r="K349" s="115"/>
      <c r="L349" s="115"/>
    </row>
    <row r="350" spans="6:12" ht="15.75" customHeight="1" x14ac:dyDescent="0.2">
      <c r="F350" s="115"/>
      <c r="G350" s="115"/>
      <c r="I350" s="115"/>
      <c r="J350" s="115"/>
      <c r="K350" s="115"/>
      <c r="L350" s="115"/>
    </row>
    <row r="351" spans="6:12" ht="15.75" customHeight="1" x14ac:dyDescent="0.2">
      <c r="F351" s="115"/>
      <c r="G351" s="115"/>
      <c r="I351" s="115"/>
      <c r="J351" s="115"/>
      <c r="K351" s="115"/>
      <c r="L351" s="115"/>
    </row>
    <row r="352" spans="6:12" ht="15.75" customHeight="1" x14ac:dyDescent="0.2">
      <c r="F352" s="115"/>
      <c r="G352" s="115"/>
      <c r="I352" s="115"/>
      <c r="J352" s="115"/>
      <c r="K352" s="115"/>
      <c r="L352" s="115"/>
    </row>
    <row r="353" spans="6:12" ht="15.75" customHeight="1" x14ac:dyDescent="0.2">
      <c r="F353" s="115"/>
      <c r="G353" s="115"/>
      <c r="I353" s="115"/>
      <c r="J353" s="115"/>
      <c r="K353" s="115"/>
      <c r="L353" s="115"/>
    </row>
    <row r="354" spans="6:12" ht="15.75" customHeight="1" x14ac:dyDescent="0.2">
      <c r="F354" s="115"/>
      <c r="G354" s="115"/>
      <c r="I354" s="115"/>
      <c r="J354" s="115"/>
      <c r="K354" s="115"/>
      <c r="L354" s="115"/>
    </row>
    <row r="355" spans="6:12" ht="15.75" customHeight="1" x14ac:dyDescent="0.2">
      <c r="F355" s="115"/>
      <c r="G355" s="115"/>
      <c r="I355" s="115"/>
      <c r="J355" s="115"/>
      <c r="K355" s="115"/>
      <c r="L355" s="115"/>
    </row>
    <row r="356" spans="6:12" ht="15.75" customHeight="1" x14ac:dyDescent="0.2">
      <c r="F356" s="115"/>
      <c r="G356" s="115"/>
      <c r="I356" s="115"/>
      <c r="J356" s="115"/>
      <c r="K356" s="115"/>
      <c r="L356" s="115"/>
    </row>
    <row r="357" spans="6:12" ht="15.75" customHeight="1" x14ac:dyDescent="0.2">
      <c r="F357" s="115"/>
      <c r="G357" s="115"/>
      <c r="I357" s="115"/>
      <c r="J357" s="115"/>
      <c r="K357" s="115"/>
      <c r="L357" s="115"/>
    </row>
    <row r="358" spans="6:12" ht="15.75" customHeight="1" x14ac:dyDescent="0.2">
      <c r="F358" s="115"/>
      <c r="G358" s="115"/>
      <c r="I358" s="115"/>
      <c r="J358" s="115"/>
      <c r="K358" s="115"/>
      <c r="L358" s="115"/>
    </row>
    <row r="359" spans="6:12" ht="15.75" customHeight="1" x14ac:dyDescent="0.2">
      <c r="F359" s="115"/>
      <c r="G359" s="115"/>
      <c r="I359" s="115"/>
      <c r="J359" s="115"/>
      <c r="K359" s="115"/>
      <c r="L359" s="115"/>
    </row>
    <row r="360" spans="6:12" ht="15.75" customHeight="1" x14ac:dyDescent="0.2">
      <c r="F360" s="115"/>
      <c r="G360" s="115"/>
      <c r="I360" s="115"/>
      <c r="J360" s="115"/>
      <c r="K360" s="115"/>
      <c r="L360" s="115"/>
    </row>
    <row r="361" spans="6:12" ht="15.75" customHeight="1" x14ac:dyDescent="0.2">
      <c r="F361" s="115"/>
      <c r="G361" s="115"/>
      <c r="I361" s="115"/>
      <c r="J361" s="115"/>
      <c r="K361" s="115"/>
      <c r="L361" s="115"/>
    </row>
    <row r="362" spans="6:12" ht="15.75" customHeight="1" x14ac:dyDescent="0.2">
      <c r="F362" s="115"/>
      <c r="G362" s="115"/>
      <c r="I362" s="115"/>
      <c r="J362" s="115"/>
      <c r="K362" s="115"/>
      <c r="L362" s="115"/>
    </row>
    <row r="363" spans="6:12" ht="15.75" customHeight="1" x14ac:dyDescent="0.2">
      <c r="F363" s="115"/>
      <c r="G363" s="115"/>
      <c r="I363" s="115"/>
      <c r="J363" s="115"/>
      <c r="K363" s="115"/>
      <c r="L363" s="115"/>
    </row>
    <row r="364" spans="6:12" ht="15.75" customHeight="1" x14ac:dyDescent="0.2">
      <c r="F364" s="115"/>
      <c r="G364" s="115"/>
      <c r="I364" s="115"/>
      <c r="J364" s="115"/>
      <c r="K364" s="115"/>
      <c r="L364" s="115"/>
    </row>
    <row r="365" spans="6:12" ht="15.75" customHeight="1" x14ac:dyDescent="0.2">
      <c r="F365" s="115"/>
      <c r="G365" s="115"/>
      <c r="I365" s="115"/>
      <c r="J365" s="115"/>
      <c r="K365" s="115"/>
      <c r="L365" s="115"/>
    </row>
    <row r="366" spans="6:12" ht="15.75" customHeight="1" x14ac:dyDescent="0.2">
      <c r="F366" s="115"/>
      <c r="G366" s="115"/>
      <c r="I366" s="115"/>
      <c r="J366" s="115"/>
      <c r="K366" s="115"/>
      <c r="L366" s="115"/>
    </row>
    <row r="367" spans="6:12" ht="15.75" customHeight="1" x14ac:dyDescent="0.2">
      <c r="F367" s="115"/>
      <c r="G367" s="115"/>
      <c r="I367" s="115"/>
      <c r="J367" s="115"/>
      <c r="K367" s="115"/>
      <c r="L367" s="115"/>
    </row>
    <row r="368" spans="6:12" ht="15.75" customHeight="1" x14ac:dyDescent="0.2">
      <c r="F368" s="115"/>
      <c r="G368" s="115"/>
      <c r="I368" s="115"/>
      <c r="J368" s="115"/>
      <c r="K368" s="115"/>
      <c r="L368" s="115"/>
    </row>
    <row r="369" spans="6:12" ht="15.75" customHeight="1" x14ac:dyDescent="0.2">
      <c r="F369" s="115"/>
      <c r="G369" s="115"/>
      <c r="I369" s="115"/>
      <c r="J369" s="115"/>
      <c r="K369" s="115"/>
      <c r="L369" s="115"/>
    </row>
    <row r="370" spans="6:12" ht="15.75" customHeight="1" x14ac:dyDescent="0.2">
      <c r="F370" s="115"/>
      <c r="G370" s="115"/>
      <c r="I370" s="115"/>
      <c r="J370" s="115"/>
      <c r="K370" s="115"/>
      <c r="L370" s="115"/>
    </row>
    <row r="371" spans="6:12" ht="15.75" customHeight="1" x14ac:dyDescent="0.2">
      <c r="F371" s="115"/>
      <c r="G371" s="115"/>
      <c r="I371" s="115"/>
      <c r="J371" s="115"/>
      <c r="K371" s="115"/>
      <c r="L371" s="115"/>
    </row>
    <row r="372" spans="6:12" ht="15.75" customHeight="1" x14ac:dyDescent="0.2">
      <c r="F372" s="115"/>
      <c r="G372" s="115"/>
      <c r="I372" s="115"/>
      <c r="J372" s="115"/>
      <c r="K372" s="115"/>
      <c r="L372" s="115"/>
    </row>
    <row r="373" spans="6:12" ht="15.75" customHeight="1" x14ac:dyDescent="0.2">
      <c r="F373" s="115"/>
      <c r="G373" s="115"/>
      <c r="I373" s="115"/>
      <c r="J373" s="115"/>
      <c r="K373" s="115"/>
      <c r="L373" s="115"/>
    </row>
    <row r="374" spans="6:12" ht="15.75" customHeight="1" x14ac:dyDescent="0.2">
      <c r="F374" s="115"/>
      <c r="G374" s="115"/>
      <c r="I374" s="115"/>
      <c r="J374" s="115"/>
      <c r="K374" s="115"/>
      <c r="L374" s="115"/>
    </row>
    <row r="375" spans="6:12" ht="15.75" customHeight="1" x14ac:dyDescent="0.2">
      <c r="F375" s="115"/>
      <c r="G375" s="115"/>
      <c r="I375" s="115"/>
      <c r="J375" s="115"/>
      <c r="K375" s="115"/>
      <c r="L375" s="115"/>
    </row>
    <row r="376" spans="6:12" ht="15.75" customHeight="1" x14ac:dyDescent="0.2">
      <c r="F376" s="115"/>
      <c r="G376" s="115"/>
      <c r="I376" s="115"/>
      <c r="J376" s="115"/>
      <c r="K376" s="115"/>
      <c r="L376" s="115"/>
    </row>
    <row r="377" spans="6:12" ht="15.75" customHeight="1" x14ac:dyDescent="0.2">
      <c r="F377" s="115"/>
      <c r="G377" s="115"/>
      <c r="I377" s="115"/>
      <c r="J377" s="115"/>
      <c r="K377" s="115"/>
      <c r="L377" s="115"/>
    </row>
    <row r="378" spans="6:12" ht="15.75" customHeight="1" x14ac:dyDescent="0.2">
      <c r="F378" s="115"/>
      <c r="G378" s="115"/>
      <c r="I378" s="115"/>
      <c r="J378" s="115"/>
      <c r="K378" s="115"/>
      <c r="L378" s="115"/>
    </row>
    <row r="379" spans="6:12" ht="15.75" customHeight="1" x14ac:dyDescent="0.2">
      <c r="F379" s="115"/>
      <c r="G379" s="115"/>
      <c r="I379" s="115"/>
      <c r="J379" s="115"/>
      <c r="K379" s="115"/>
      <c r="L379" s="115"/>
    </row>
    <row r="380" spans="6:12" ht="15.75" customHeight="1" x14ac:dyDescent="0.2">
      <c r="F380" s="115"/>
      <c r="G380" s="115"/>
      <c r="I380" s="115"/>
      <c r="J380" s="115"/>
      <c r="K380" s="115"/>
      <c r="L380" s="115"/>
    </row>
    <row r="381" spans="6:12" ht="15.75" customHeight="1" x14ac:dyDescent="0.2">
      <c r="F381" s="115"/>
      <c r="G381" s="115"/>
      <c r="I381" s="115"/>
      <c r="J381" s="115"/>
      <c r="K381" s="115"/>
      <c r="L381" s="115"/>
    </row>
    <row r="382" spans="6:12" ht="15.75" customHeight="1" x14ac:dyDescent="0.2">
      <c r="F382" s="115"/>
      <c r="G382" s="115"/>
      <c r="I382" s="115"/>
      <c r="J382" s="115"/>
      <c r="K382" s="115"/>
      <c r="L382" s="115"/>
    </row>
    <row r="383" spans="6:12" ht="15.75" customHeight="1" x14ac:dyDescent="0.2">
      <c r="F383" s="115"/>
      <c r="G383" s="115"/>
      <c r="I383" s="115"/>
      <c r="J383" s="115"/>
      <c r="K383" s="115"/>
      <c r="L383" s="115"/>
    </row>
    <row r="384" spans="6:12" ht="15.75" customHeight="1" x14ac:dyDescent="0.2">
      <c r="F384" s="115"/>
      <c r="G384" s="115"/>
      <c r="I384" s="115"/>
      <c r="J384" s="115"/>
      <c r="K384" s="115"/>
      <c r="L384" s="115"/>
    </row>
    <row r="385" spans="6:12" ht="15.75" customHeight="1" x14ac:dyDescent="0.2">
      <c r="F385" s="115"/>
      <c r="G385" s="115"/>
      <c r="I385" s="115"/>
      <c r="J385" s="115"/>
      <c r="K385" s="115"/>
      <c r="L385" s="115"/>
    </row>
    <row r="386" spans="6:12" ht="15.75" customHeight="1" x14ac:dyDescent="0.2">
      <c r="F386" s="115"/>
      <c r="G386" s="115"/>
      <c r="I386" s="115"/>
      <c r="J386" s="115"/>
      <c r="K386" s="115"/>
      <c r="L386" s="115"/>
    </row>
    <row r="387" spans="6:12" ht="15.75" customHeight="1" x14ac:dyDescent="0.2">
      <c r="F387" s="115"/>
      <c r="G387" s="115"/>
      <c r="I387" s="115"/>
      <c r="J387" s="115"/>
      <c r="K387" s="115"/>
      <c r="L387" s="115"/>
    </row>
    <row r="388" spans="6:12" ht="15.75" customHeight="1" x14ac:dyDescent="0.2">
      <c r="F388" s="115"/>
      <c r="G388" s="115"/>
      <c r="I388" s="115"/>
      <c r="J388" s="115"/>
      <c r="K388" s="115"/>
      <c r="L388" s="115"/>
    </row>
    <row r="389" spans="6:12" ht="15.75" customHeight="1" x14ac:dyDescent="0.2">
      <c r="F389" s="115"/>
      <c r="G389" s="115"/>
      <c r="I389" s="115"/>
      <c r="J389" s="115"/>
      <c r="K389" s="115"/>
      <c r="L389" s="115"/>
    </row>
    <row r="390" spans="6:12" ht="15.75" customHeight="1" x14ac:dyDescent="0.2">
      <c r="F390" s="115"/>
      <c r="G390" s="115"/>
      <c r="I390" s="115"/>
      <c r="J390" s="115"/>
      <c r="K390" s="115"/>
      <c r="L390" s="115"/>
    </row>
    <row r="391" spans="6:12" ht="15.75" customHeight="1" x14ac:dyDescent="0.2">
      <c r="F391" s="115"/>
      <c r="G391" s="115"/>
      <c r="I391" s="115"/>
      <c r="J391" s="115"/>
      <c r="K391" s="115"/>
      <c r="L391" s="115"/>
    </row>
    <row r="392" spans="6:12" ht="15.75" customHeight="1" x14ac:dyDescent="0.2">
      <c r="F392" s="115"/>
      <c r="G392" s="115"/>
      <c r="I392" s="115"/>
      <c r="J392" s="115"/>
      <c r="K392" s="115"/>
      <c r="L392" s="115"/>
    </row>
    <row r="393" spans="6:12" ht="15.75" customHeight="1" x14ac:dyDescent="0.2">
      <c r="F393" s="115"/>
      <c r="G393" s="115"/>
      <c r="I393" s="115"/>
      <c r="J393" s="115"/>
      <c r="K393" s="115"/>
      <c r="L393" s="115"/>
    </row>
    <row r="394" spans="6:12" ht="15.75" customHeight="1" x14ac:dyDescent="0.2">
      <c r="F394" s="115"/>
      <c r="G394" s="115"/>
      <c r="I394" s="115"/>
      <c r="J394" s="115"/>
      <c r="K394" s="115"/>
      <c r="L394" s="115"/>
    </row>
    <row r="395" spans="6:12" ht="15.75" customHeight="1" x14ac:dyDescent="0.2">
      <c r="F395" s="115"/>
      <c r="G395" s="115"/>
      <c r="I395" s="115"/>
      <c r="J395" s="115"/>
      <c r="K395" s="115"/>
      <c r="L395" s="115"/>
    </row>
    <row r="396" spans="6:12" ht="15.75" customHeight="1" x14ac:dyDescent="0.2">
      <c r="F396" s="115"/>
      <c r="G396" s="115"/>
      <c r="I396" s="115"/>
      <c r="J396" s="115"/>
      <c r="K396" s="115"/>
      <c r="L396" s="115"/>
    </row>
    <row r="397" spans="6:12" ht="15.75" customHeight="1" x14ac:dyDescent="0.2">
      <c r="F397" s="115"/>
      <c r="G397" s="115"/>
      <c r="I397" s="115"/>
      <c r="J397" s="115"/>
      <c r="K397" s="115"/>
      <c r="L397" s="115"/>
    </row>
    <row r="398" spans="6:12" ht="15.75" customHeight="1" x14ac:dyDescent="0.2">
      <c r="F398" s="115"/>
      <c r="G398" s="115"/>
      <c r="I398" s="115"/>
      <c r="J398" s="115"/>
      <c r="K398" s="115"/>
      <c r="L398" s="115"/>
    </row>
    <row r="399" spans="6:12" ht="15.75" customHeight="1" x14ac:dyDescent="0.2">
      <c r="F399" s="115"/>
      <c r="G399" s="115"/>
      <c r="I399" s="115"/>
      <c r="J399" s="115"/>
      <c r="K399" s="115"/>
      <c r="L399" s="115"/>
    </row>
    <row r="400" spans="6:12" ht="15.75" customHeight="1" x14ac:dyDescent="0.2">
      <c r="F400" s="115"/>
      <c r="G400" s="115"/>
      <c r="I400" s="115"/>
      <c r="J400" s="115"/>
      <c r="K400" s="115"/>
      <c r="L400" s="115"/>
    </row>
    <row r="401" spans="6:12" ht="15.75" customHeight="1" x14ac:dyDescent="0.2">
      <c r="F401" s="115"/>
      <c r="G401" s="115"/>
      <c r="I401" s="115"/>
      <c r="J401" s="115"/>
      <c r="K401" s="115"/>
      <c r="L401" s="115"/>
    </row>
    <row r="402" spans="6:12" ht="15.75" customHeight="1" x14ac:dyDescent="0.2">
      <c r="F402" s="115"/>
      <c r="G402" s="115"/>
      <c r="I402" s="115"/>
      <c r="J402" s="115"/>
      <c r="K402" s="115"/>
      <c r="L402" s="115"/>
    </row>
    <row r="403" spans="6:12" ht="15.75" customHeight="1" x14ac:dyDescent="0.2">
      <c r="F403" s="115"/>
      <c r="G403" s="115"/>
      <c r="I403" s="115"/>
      <c r="J403" s="115"/>
      <c r="K403" s="115"/>
      <c r="L403" s="115"/>
    </row>
    <row r="404" spans="6:12" ht="15.75" customHeight="1" x14ac:dyDescent="0.2">
      <c r="F404" s="115"/>
      <c r="G404" s="115"/>
      <c r="I404" s="115"/>
      <c r="J404" s="115"/>
      <c r="K404" s="115"/>
      <c r="L404" s="115"/>
    </row>
    <row r="405" spans="6:12" ht="15.75" customHeight="1" x14ac:dyDescent="0.2">
      <c r="F405" s="115"/>
      <c r="G405" s="115"/>
      <c r="I405" s="115"/>
      <c r="J405" s="115"/>
      <c r="K405" s="115"/>
      <c r="L405" s="115"/>
    </row>
    <row r="406" spans="6:12" ht="15.75" customHeight="1" x14ac:dyDescent="0.2">
      <c r="F406" s="115"/>
      <c r="G406" s="115"/>
      <c r="I406" s="115"/>
      <c r="J406" s="115"/>
      <c r="K406" s="115"/>
      <c r="L406" s="115"/>
    </row>
    <row r="407" spans="6:12" ht="15.75" customHeight="1" x14ac:dyDescent="0.2">
      <c r="F407" s="115"/>
      <c r="G407" s="115"/>
      <c r="I407" s="115"/>
      <c r="J407" s="115"/>
      <c r="K407" s="115"/>
      <c r="L407" s="115"/>
    </row>
    <row r="408" spans="6:12" ht="15.75" customHeight="1" x14ac:dyDescent="0.2">
      <c r="F408" s="115"/>
      <c r="G408" s="115"/>
      <c r="I408" s="115"/>
      <c r="J408" s="115"/>
      <c r="K408" s="115"/>
      <c r="L408" s="115"/>
    </row>
    <row r="409" spans="6:12" ht="15.75" customHeight="1" x14ac:dyDescent="0.2">
      <c r="F409" s="115"/>
      <c r="G409" s="115"/>
      <c r="I409" s="115"/>
      <c r="J409" s="115"/>
      <c r="K409" s="115"/>
      <c r="L409" s="115"/>
    </row>
    <row r="410" spans="6:12" ht="15.75" customHeight="1" x14ac:dyDescent="0.2">
      <c r="F410" s="115"/>
      <c r="G410" s="115"/>
      <c r="I410" s="115"/>
      <c r="J410" s="115"/>
      <c r="K410" s="115"/>
      <c r="L410" s="115"/>
    </row>
    <row r="411" spans="6:12" ht="15.75" customHeight="1" x14ac:dyDescent="0.2">
      <c r="F411" s="115"/>
      <c r="G411" s="115"/>
      <c r="I411" s="115"/>
      <c r="J411" s="115"/>
      <c r="K411" s="115"/>
      <c r="L411" s="115"/>
    </row>
    <row r="412" spans="6:12" ht="15.75" customHeight="1" x14ac:dyDescent="0.2">
      <c r="F412" s="115"/>
      <c r="G412" s="115"/>
      <c r="I412" s="115"/>
      <c r="J412" s="115"/>
      <c r="K412" s="115"/>
      <c r="L412" s="115"/>
    </row>
    <row r="413" spans="6:12" ht="15.75" customHeight="1" x14ac:dyDescent="0.2">
      <c r="F413" s="115"/>
      <c r="G413" s="115"/>
      <c r="I413" s="115"/>
      <c r="J413" s="115"/>
      <c r="K413" s="115"/>
      <c r="L413" s="115"/>
    </row>
    <row r="414" spans="6:12" ht="15.75" customHeight="1" x14ac:dyDescent="0.2">
      <c r="F414" s="115"/>
      <c r="G414" s="115"/>
      <c r="I414" s="115"/>
      <c r="J414" s="115"/>
      <c r="K414" s="115"/>
      <c r="L414" s="115"/>
    </row>
    <row r="415" spans="6:12" ht="15.75" customHeight="1" x14ac:dyDescent="0.2">
      <c r="F415" s="115"/>
      <c r="G415" s="115"/>
      <c r="I415" s="115"/>
      <c r="J415" s="115"/>
      <c r="K415" s="115"/>
      <c r="L415" s="115"/>
    </row>
    <row r="416" spans="6:12" ht="15.75" customHeight="1" x14ac:dyDescent="0.2">
      <c r="F416" s="115"/>
      <c r="G416" s="115"/>
      <c r="I416" s="115"/>
      <c r="J416" s="115"/>
      <c r="K416" s="115"/>
      <c r="L416" s="115"/>
    </row>
    <row r="417" spans="6:12" ht="15.75" customHeight="1" x14ac:dyDescent="0.2">
      <c r="F417" s="115"/>
      <c r="G417" s="115"/>
      <c r="I417" s="115"/>
      <c r="J417" s="115"/>
      <c r="K417" s="115"/>
      <c r="L417" s="115"/>
    </row>
    <row r="418" spans="6:12" ht="15.75" customHeight="1" x14ac:dyDescent="0.2">
      <c r="F418" s="115"/>
      <c r="G418" s="115"/>
      <c r="I418" s="115"/>
      <c r="J418" s="115"/>
      <c r="K418" s="115"/>
      <c r="L418" s="115"/>
    </row>
    <row r="419" spans="6:12" ht="15.75" customHeight="1" x14ac:dyDescent="0.2">
      <c r="F419" s="115"/>
      <c r="G419" s="115"/>
      <c r="I419" s="115"/>
      <c r="J419" s="115"/>
      <c r="K419" s="115"/>
      <c r="L419" s="115"/>
    </row>
    <row r="420" spans="6:12" ht="15.75" customHeight="1" x14ac:dyDescent="0.2">
      <c r="F420" s="115"/>
      <c r="G420" s="115"/>
      <c r="I420" s="115"/>
      <c r="J420" s="115"/>
      <c r="K420" s="115"/>
      <c r="L420" s="115"/>
    </row>
    <row r="421" spans="6:12" ht="15.75" customHeight="1" x14ac:dyDescent="0.2">
      <c r="F421" s="115"/>
      <c r="G421" s="115"/>
      <c r="I421" s="115"/>
      <c r="J421" s="115"/>
      <c r="K421" s="115"/>
      <c r="L421" s="115"/>
    </row>
    <row r="422" spans="6:12" ht="15.75" customHeight="1" x14ac:dyDescent="0.2">
      <c r="F422" s="115"/>
      <c r="G422" s="115"/>
      <c r="I422" s="115"/>
      <c r="J422" s="115"/>
      <c r="K422" s="115"/>
      <c r="L422" s="115"/>
    </row>
    <row r="423" spans="6:12" ht="15.75" customHeight="1" x14ac:dyDescent="0.2">
      <c r="F423" s="115"/>
      <c r="G423" s="115"/>
      <c r="I423" s="115"/>
      <c r="J423" s="115"/>
      <c r="K423" s="115"/>
      <c r="L423" s="115"/>
    </row>
    <row r="424" spans="6:12" ht="15.75" customHeight="1" x14ac:dyDescent="0.2">
      <c r="F424" s="115"/>
      <c r="G424" s="115"/>
      <c r="I424" s="115"/>
      <c r="J424" s="115"/>
      <c r="K424" s="115"/>
      <c r="L424" s="115"/>
    </row>
    <row r="425" spans="6:12" ht="15.75" customHeight="1" x14ac:dyDescent="0.2">
      <c r="F425" s="115"/>
      <c r="G425" s="115"/>
      <c r="I425" s="115"/>
      <c r="J425" s="115"/>
      <c r="K425" s="115"/>
      <c r="L425" s="115"/>
    </row>
    <row r="426" spans="6:12" ht="15.75" customHeight="1" x14ac:dyDescent="0.2">
      <c r="F426" s="115"/>
      <c r="G426" s="115"/>
      <c r="I426" s="115"/>
      <c r="J426" s="115"/>
      <c r="K426" s="115"/>
      <c r="L426" s="115"/>
    </row>
    <row r="427" spans="6:12" ht="15.75" customHeight="1" x14ac:dyDescent="0.2">
      <c r="F427" s="115"/>
      <c r="G427" s="115"/>
      <c r="I427" s="115"/>
      <c r="J427" s="115"/>
      <c r="K427" s="115"/>
      <c r="L427" s="115"/>
    </row>
    <row r="428" spans="6:12" ht="15.75" customHeight="1" x14ac:dyDescent="0.2">
      <c r="F428" s="115"/>
      <c r="G428" s="115"/>
      <c r="I428" s="115"/>
      <c r="J428" s="115"/>
      <c r="K428" s="115"/>
      <c r="L428" s="115"/>
    </row>
    <row r="429" spans="6:12" ht="15.75" customHeight="1" x14ac:dyDescent="0.2">
      <c r="F429" s="115"/>
      <c r="G429" s="115"/>
      <c r="I429" s="115"/>
      <c r="J429" s="115"/>
      <c r="K429" s="115"/>
      <c r="L429" s="115"/>
    </row>
    <row r="430" spans="6:12" ht="15.75" customHeight="1" x14ac:dyDescent="0.2">
      <c r="F430" s="115"/>
      <c r="G430" s="115"/>
      <c r="I430" s="115"/>
      <c r="J430" s="115"/>
      <c r="K430" s="115"/>
      <c r="L430" s="115"/>
    </row>
    <row r="431" spans="6:12" ht="15.75" customHeight="1" x14ac:dyDescent="0.2">
      <c r="F431" s="115"/>
      <c r="G431" s="115"/>
      <c r="I431" s="115"/>
      <c r="J431" s="115"/>
      <c r="K431" s="115"/>
      <c r="L431" s="115"/>
    </row>
    <row r="432" spans="6:12" ht="15.75" customHeight="1" x14ac:dyDescent="0.2">
      <c r="F432" s="115"/>
      <c r="G432" s="115"/>
      <c r="I432" s="115"/>
      <c r="J432" s="115"/>
      <c r="K432" s="115"/>
      <c r="L432" s="115"/>
    </row>
    <row r="433" spans="6:12" ht="15.75" customHeight="1" x14ac:dyDescent="0.2">
      <c r="F433" s="115"/>
      <c r="G433" s="115"/>
      <c r="I433" s="115"/>
      <c r="J433" s="115"/>
      <c r="K433" s="115"/>
      <c r="L433" s="115"/>
    </row>
    <row r="434" spans="6:12" ht="15.75" customHeight="1" x14ac:dyDescent="0.2">
      <c r="F434" s="115"/>
      <c r="G434" s="115"/>
      <c r="I434" s="115"/>
      <c r="J434" s="115"/>
      <c r="K434" s="115"/>
      <c r="L434" s="115"/>
    </row>
    <row r="435" spans="6:12" ht="15.75" customHeight="1" x14ac:dyDescent="0.2">
      <c r="F435" s="115"/>
      <c r="G435" s="115"/>
      <c r="I435" s="115"/>
      <c r="J435" s="115"/>
      <c r="K435" s="115"/>
      <c r="L435" s="115"/>
    </row>
    <row r="436" spans="6:12" ht="15.75" customHeight="1" x14ac:dyDescent="0.2">
      <c r="F436" s="115"/>
      <c r="G436" s="115"/>
      <c r="I436" s="115"/>
      <c r="J436" s="115"/>
      <c r="K436" s="115"/>
      <c r="L436" s="115"/>
    </row>
    <row r="437" spans="6:12" ht="15.75" customHeight="1" x14ac:dyDescent="0.2">
      <c r="F437" s="115"/>
      <c r="G437" s="115"/>
      <c r="I437" s="115"/>
      <c r="J437" s="115"/>
      <c r="K437" s="115"/>
      <c r="L437" s="115"/>
    </row>
    <row r="438" spans="6:12" ht="15.75" customHeight="1" x14ac:dyDescent="0.2">
      <c r="F438" s="115"/>
      <c r="G438" s="115"/>
      <c r="I438" s="115"/>
      <c r="J438" s="115"/>
      <c r="K438" s="115"/>
      <c r="L438" s="115"/>
    </row>
    <row r="439" spans="6:12" ht="15.75" customHeight="1" x14ac:dyDescent="0.2">
      <c r="F439" s="115"/>
      <c r="G439" s="115"/>
      <c r="I439" s="115"/>
      <c r="J439" s="115"/>
      <c r="K439" s="115"/>
      <c r="L439" s="115"/>
    </row>
    <row r="440" spans="6:12" ht="15.75" customHeight="1" x14ac:dyDescent="0.2">
      <c r="F440" s="115"/>
      <c r="G440" s="115"/>
      <c r="I440" s="115"/>
      <c r="J440" s="115"/>
      <c r="K440" s="115"/>
      <c r="L440" s="115"/>
    </row>
    <row r="441" spans="6:12" ht="15.75" customHeight="1" x14ac:dyDescent="0.2">
      <c r="F441" s="115"/>
      <c r="G441" s="115"/>
      <c r="I441" s="115"/>
      <c r="J441" s="115"/>
      <c r="K441" s="115"/>
      <c r="L441" s="115"/>
    </row>
    <row r="442" spans="6:12" ht="15.75" customHeight="1" x14ac:dyDescent="0.2">
      <c r="F442" s="115"/>
      <c r="G442" s="115"/>
      <c r="I442" s="115"/>
      <c r="J442" s="115"/>
      <c r="K442" s="115"/>
      <c r="L442" s="115"/>
    </row>
    <row r="443" spans="6:12" ht="15.75" customHeight="1" x14ac:dyDescent="0.2">
      <c r="F443" s="115"/>
      <c r="G443" s="115"/>
      <c r="I443" s="115"/>
      <c r="J443" s="115"/>
      <c r="K443" s="115"/>
      <c r="L443" s="115"/>
    </row>
    <row r="444" spans="6:12" ht="15.75" customHeight="1" x14ac:dyDescent="0.2">
      <c r="F444" s="115"/>
      <c r="G444" s="115"/>
      <c r="I444" s="115"/>
      <c r="J444" s="115"/>
      <c r="K444" s="115"/>
      <c r="L444" s="115"/>
    </row>
    <row r="445" spans="6:12" ht="15.75" customHeight="1" x14ac:dyDescent="0.2">
      <c r="F445" s="115"/>
      <c r="G445" s="115"/>
      <c r="I445" s="115"/>
      <c r="J445" s="115"/>
      <c r="K445" s="115"/>
      <c r="L445" s="115"/>
    </row>
    <row r="446" spans="6:12" ht="15.75" customHeight="1" x14ac:dyDescent="0.2">
      <c r="F446" s="115"/>
      <c r="G446" s="115"/>
      <c r="I446" s="115"/>
      <c r="J446" s="115"/>
      <c r="K446" s="115"/>
      <c r="L446" s="115"/>
    </row>
    <row r="447" spans="6:12" ht="15.75" customHeight="1" x14ac:dyDescent="0.2">
      <c r="F447" s="115"/>
      <c r="G447" s="115"/>
      <c r="I447" s="115"/>
      <c r="J447" s="115"/>
      <c r="K447" s="115"/>
      <c r="L447" s="115"/>
    </row>
    <row r="448" spans="6:12" ht="15.75" customHeight="1" x14ac:dyDescent="0.2">
      <c r="F448" s="115"/>
      <c r="G448" s="115"/>
      <c r="I448" s="115"/>
      <c r="J448" s="115"/>
      <c r="K448" s="115"/>
      <c r="L448" s="115"/>
    </row>
    <row r="449" spans="6:12" ht="15.75" customHeight="1" x14ac:dyDescent="0.2">
      <c r="F449" s="115"/>
      <c r="G449" s="115"/>
      <c r="I449" s="115"/>
      <c r="J449" s="115"/>
      <c r="K449" s="115"/>
      <c r="L449" s="115"/>
    </row>
    <row r="450" spans="6:12" ht="15.75" customHeight="1" x14ac:dyDescent="0.2">
      <c r="F450" s="115"/>
      <c r="G450" s="115"/>
      <c r="I450" s="115"/>
      <c r="J450" s="115"/>
      <c r="K450" s="115"/>
      <c r="L450" s="115"/>
    </row>
    <row r="451" spans="6:12" ht="15.75" customHeight="1" x14ac:dyDescent="0.2">
      <c r="F451" s="115"/>
      <c r="G451" s="115"/>
      <c r="I451" s="115"/>
      <c r="J451" s="115"/>
      <c r="K451" s="115"/>
      <c r="L451" s="115"/>
    </row>
    <row r="452" spans="6:12" ht="15.75" customHeight="1" x14ac:dyDescent="0.2">
      <c r="F452" s="115"/>
      <c r="G452" s="115"/>
      <c r="I452" s="115"/>
      <c r="J452" s="115"/>
      <c r="K452" s="115"/>
      <c r="L452" s="115"/>
    </row>
    <row r="453" spans="6:12" ht="15.75" customHeight="1" x14ac:dyDescent="0.2">
      <c r="F453" s="115"/>
      <c r="G453" s="115"/>
      <c r="I453" s="115"/>
      <c r="J453" s="115"/>
      <c r="K453" s="115"/>
      <c r="L453" s="115"/>
    </row>
    <row r="454" spans="6:12" ht="15.75" customHeight="1" x14ac:dyDescent="0.2">
      <c r="F454" s="115"/>
      <c r="G454" s="115"/>
      <c r="I454" s="115"/>
      <c r="J454" s="115"/>
      <c r="K454" s="115"/>
      <c r="L454" s="115"/>
    </row>
    <row r="455" spans="6:12" ht="15.75" customHeight="1" x14ac:dyDescent="0.2">
      <c r="F455" s="115"/>
      <c r="G455" s="115"/>
      <c r="I455" s="115"/>
      <c r="J455" s="115"/>
      <c r="K455" s="115"/>
      <c r="L455" s="115"/>
    </row>
    <row r="456" spans="6:12" ht="15.75" customHeight="1" x14ac:dyDescent="0.2">
      <c r="F456" s="115"/>
      <c r="G456" s="115"/>
      <c r="I456" s="115"/>
      <c r="J456" s="115"/>
      <c r="K456" s="115"/>
      <c r="L456" s="115"/>
    </row>
    <row r="457" spans="6:12" ht="15.75" customHeight="1" x14ac:dyDescent="0.2">
      <c r="F457" s="115"/>
      <c r="G457" s="115"/>
      <c r="I457" s="115"/>
      <c r="J457" s="115"/>
      <c r="K457" s="115"/>
      <c r="L457" s="115"/>
    </row>
    <row r="458" spans="6:12" ht="15.75" customHeight="1" x14ac:dyDescent="0.2">
      <c r="F458" s="115"/>
      <c r="G458" s="115"/>
      <c r="I458" s="115"/>
      <c r="J458" s="115"/>
      <c r="K458" s="115"/>
      <c r="L458" s="115"/>
    </row>
    <row r="459" spans="6:12" ht="15.75" customHeight="1" x14ac:dyDescent="0.2">
      <c r="F459" s="115"/>
      <c r="G459" s="115"/>
      <c r="I459" s="115"/>
      <c r="J459" s="115"/>
      <c r="K459" s="115"/>
      <c r="L459" s="115"/>
    </row>
    <row r="460" spans="6:12" ht="15.75" customHeight="1" x14ac:dyDescent="0.2">
      <c r="F460" s="115"/>
      <c r="G460" s="115"/>
      <c r="I460" s="115"/>
      <c r="J460" s="115"/>
      <c r="K460" s="115"/>
      <c r="L460" s="115"/>
    </row>
    <row r="461" spans="6:12" ht="15.75" customHeight="1" x14ac:dyDescent="0.2">
      <c r="F461" s="115"/>
      <c r="G461" s="115"/>
      <c r="I461" s="115"/>
      <c r="J461" s="115"/>
      <c r="K461" s="115"/>
      <c r="L461" s="115"/>
    </row>
    <row r="462" spans="6:12" ht="15.75" customHeight="1" x14ac:dyDescent="0.2">
      <c r="F462" s="115"/>
      <c r="G462" s="115"/>
      <c r="I462" s="115"/>
      <c r="J462" s="115"/>
      <c r="K462" s="115"/>
      <c r="L462" s="115"/>
    </row>
    <row r="463" spans="6:12" ht="15.75" customHeight="1" x14ac:dyDescent="0.2">
      <c r="F463" s="115"/>
      <c r="G463" s="115"/>
      <c r="I463" s="115"/>
      <c r="J463" s="115"/>
      <c r="K463" s="115"/>
      <c r="L463" s="115"/>
    </row>
    <row r="464" spans="6:12" ht="15.75" customHeight="1" x14ac:dyDescent="0.2">
      <c r="F464" s="115"/>
      <c r="G464" s="115"/>
      <c r="I464" s="115"/>
      <c r="J464" s="115"/>
      <c r="K464" s="115"/>
      <c r="L464" s="115"/>
    </row>
    <row r="465" spans="6:12" ht="15.75" customHeight="1" x14ac:dyDescent="0.2">
      <c r="F465" s="115"/>
      <c r="G465" s="115"/>
      <c r="I465" s="115"/>
      <c r="J465" s="115"/>
      <c r="K465" s="115"/>
      <c r="L465" s="115"/>
    </row>
    <row r="466" spans="6:12" ht="15.75" customHeight="1" x14ac:dyDescent="0.2">
      <c r="F466" s="115"/>
      <c r="G466" s="115"/>
      <c r="I466" s="115"/>
      <c r="J466" s="115"/>
      <c r="K466" s="115"/>
      <c r="L466" s="115"/>
    </row>
    <row r="467" spans="6:12" ht="15.75" customHeight="1" x14ac:dyDescent="0.2">
      <c r="F467" s="115"/>
      <c r="G467" s="115"/>
      <c r="I467" s="115"/>
      <c r="J467" s="115"/>
      <c r="K467" s="115"/>
      <c r="L467" s="115"/>
    </row>
    <row r="468" spans="6:12" ht="15.75" customHeight="1" x14ac:dyDescent="0.2">
      <c r="F468" s="115"/>
      <c r="G468" s="115"/>
      <c r="I468" s="115"/>
      <c r="J468" s="115"/>
      <c r="K468" s="115"/>
      <c r="L468" s="115"/>
    </row>
    <row r="469" spans="6:12" ht="15.75" customHeight="1" x14ac:dyDescent="0.2">
      <c r="F469" s="115"/>
      <c r="G469" s="115"/>
      <c r="I469" s="115"/>
      <c r="J469" s="115"/>
      <c r="K469" s="115"/>
      <c r="L469" s="115"/>
    </row>
    <row r="470" spans="6:12" ht="15.75" customHeight="1" x14ac:dyDescent="0.2">
      <c r="F470" s="115"/>
      <c r="G470" s="115"/>
      <c r="I470" s="115"/>
      <c r="J470" s="115"/>
      <c r="K470" s="115"/>
      <c r="L470" s="115"/>
    </row>
    <row r="471" spans="6:12" ht="15.75" customHeight="1" x14ac:dyDescent="0.2">
      <c r="F471" s="115"/>
      <c r="G471" s="115"/>
      <c r="I471" s="115"/>
      <c r="J471" s="115"/>
      <c r="K471" s="115"/>
      <c r="L471" s="115"/>
    </row>
    <row r="472" spans="6:12" ht="15.75" customHeight="1" x14ac:dyDescent="0.2">
      <c r="F472" s="115"/>
      <c r="G472" s="115"/>
      <c r="I472" s="115"/>
      <c r="J472" s="115"/>
      <c r="K472" s="115"/>
      <c r="L472" s="115"/>
    </row>
    <row r="473" spans="6:12" ht="15.75" customHeight="1" x14ac:dyDescent="0.2">
      <c r="F473" s="115"/>
      <c r="G473" s="115"/>
      <c r="I473" s="115"/>
      <c r="J473" s="115"/>
      <c r="K473" s="115"/>
      <c r="L473" s="115"/>
    </row>
    <row r="474" spans="6:12" ht="15.75" customHeight="1" x14ac:dyDescent="0.2">
      <c r="F474" s="115"/>
      <c r="G474" s="115"/>
      <c r="I474" s="115"/>
      <c r="J474" s="115"/>
      <c r="K474" s="115"/>
      <c r="L474" s="115"/>
    </row>
    <row r="475" spans="6:12" ht="15.75" customHeight="1" x14ac:dyDescent="0.2">
      <c r="F475" s="115"/>
      <c r="G475" s="115"/>
      <c r="I475" s="115"/>
      <c r="J475" s="115"/>
      <c r="K475" s="115"/>
      <c r="L475" s="115"/>
    </row>
    <row r="476" spans="6:12" ht="15.75" customHeight="1" x14ac:dyDescent="0.2">
      <c r="F476" s="115"/>
      <c r="G476" s="115"/>
      <c r="I476" s="115"/>
      <c r="J476" s="115"/>
      <c r="K476" s="115"/>
      <c r="L476" s="115"/>
    </row>
    <row r="477" spans="6:12" ht="15.75" customHeight="1" x14ac:dyDescent="0.2">
      <c r="F477" s="115"/>
      <c r="G477" s="115"/>
      <c r="I477" s="115"/>
      <c r="J477" s="115"/>
      <c r="K477" s="115"/>
      <c r="L477" s="115"/>
    </row>
    <row r="478" spans="6:12" ht="15.75" customHeight="1" x14ac:dyDescent="0.2">
      <c r="F478" s="115"/>
      <c r="G478" s="115"/>
      <c r="I478" s="115"/>
      <c r="J478" s="115"/>
      <c r="K478" s="115"/>
      <c r="L478" s="115"/>
    </row>
    <row r="479" spans="6:12" ht="15.75" customHeight="1" x14ac:dyDescent="0.2">
      <c r="F479" s="115"/>
      <c r="G479" s="115"/>
      <c r="I479" s="115"/>
      <c r="J479" s="115"/>
      <c r="K479" s="115"/>
      <c r="L479" s="115"/>
    </row>
    <row r="480" spans="6:12" ht="15.75" customHeight="1" x14ac:dyDescent="0.2">
      <c r="F480" s="115"/>
      <c r="G480" s="115"/>
      <c r="I480" s="115"/>
      <c r="J480" s="115"/>
      <c r="K480" s="115"/>
      <c r="L480" s="115"/>
    </row>
    <row r="481" spans="6:12" ht="15.75" customHeight="1" x14ac:dyDescent="0.2">
      <c r="F481" s="115"/>
      <c r="G481" s="115"/>
      <c r="I481" s="115"/>
      <c r="J481" s="115"/>
      <c r="K481" s="115"/>
      <c r="L481" s="115"/>
    </row>
    <row r="482" spans="6:12" ht="15.75" customHeight="1" x14ac:dyDescent="0.2">
      <c r="F482" s="115"/>
      <c r="G482" s="115"/>
      <c r="I482" s="115"/>
      <c r="J482" s="115"/>
      <c r="K482" s="115"/>
      <c r="L482" s="115"/>
    </row>
    <row r="483" spans="6:12" ht="15.75" customHeight="1" x14ac:dyDescent="0.2">
      <c r="F483" s="115"/>
      <c r="G483" s="115"/>
      <c r="I483" s="115"/>
      <c r="J483" s="115"/>
      <c r="K483" s="115"/>
      <c r="L483" s="115"/>
    </row>
    <row r="484" spans="6:12" ht="15.75" customHeight="1" x14ac:dyDescent="0.2">
      <c r="F484" s="115"/>
      <c r="G484" s="115"/>
      <c r="I484" s="115"/>
      <c r="J484" s="115"/>
      <c r="K484" s="115"/>
      <c r="L484" s="115"/>
    </row>
    <row r="485" spans="6:12" ht="15.75" customHeight="1" x14ac:dyDescent="0.2">
      <c r="F485" s="115"/>
      <c r="G485" s="115"/>
      <c r="I485" s="115"/>
      <c r="J485" s="115"/>
      <c r="K485" s="115"/>
      <c r="L485" s="115"/>
    </row>
    <row r="486" spans="6:12" ht="15.75" customHeight="1" x14ac:dyDescent="0.2">
      <c r="F486" s="115"/>
      <c r="G486" s="115"/>
      <c r="I486" s="115"/>
      <c r="J486" s="115"/>
      <c r="K486" s="115"/>
      <c r="L486" s="115"/>
    </row>
    <row r="487" spans="6:12" ht="15.75" customHeight="1" x14ac:dyDescent="0.2">
      <c r="F487" s="115"/>
      <c r="G487" s="115"/>
      <c r="I487" s="115"/>
      <c r="J487" s="115"/>
      <c r="K487" s="115"/>
      <c r="L487" s="115"/>
    </row>
    <row r="488" spans="6:12" ht="15.75" customHeight="1" x14ac:dyDescent="0.2">
      <c r="F488" s="115"/>
      <c r="G488" s="115"/>
      <c r="I488" s="115"/>
      <c r="J488" s="115"/>
      <c r="K488" s="115"/>
      <c r="L488" s="115"/>
    </row>
    <row r="489" spans="6:12" ht="15.75" customHeight="1" x14ac:dyDescent="0.2">
      <c r="F489" s="115"/>
      <c r="G489" s="115"/>
      <c r="I489" s="115"/>
      <c r="J489" s="115"/>
      <c r="K489" s="115"/>
      <c r="L489" s="115"/>
    </row>
    <row r="490" spans="6:12" ht="15.75" customHeight="1" x14ac:dyDescent="0.2">
      <c r="F490" s="115"/>
      <c r="G490" s="115"/>
      <c r="I490" s="115"/>
      <c r="J490" s="115"/>
      <c r="K490" s="115"/>
      <c r="L490" s="115"/>
    </row>
    <row r="491" spans="6:12" ht="15.75" customHeight="1" x14ac:dyDescent="0.2">
      <c r="F491" s="115"/>
      <c r="G491" s="115"/>
      <c r="I491" s="115"/>
      <c r="J491" s="115"/>
      <c r="K491" s="115"/>
      <c r="L491" s="115"/>
    </row>
    <row r="492" spans="6:12" ht="15.75" customHeight="1" x14ac:dyDescent="0.2">
      <c r="F492" s="115"/>
      <c r="G492" s="115"/>
      <c r="I492" s="115"/>
      <c r="J492" s="115"/>
      <c r="K492" s="115"/>
      <c r="L492" s="115"/>
    </row>
    <row r="493" spans="6:12" ht="15.75" customHeight="1" x14ac:dyDescent="0.2">
      <c r="F493" s="115"/>
      <c r="G493" s="115"/>
      <c r="I493" s="115"/>
      <c r="J493" s="115"/>
      <c r="K493" s="115"/>
      <c r="L493" s="115"/>
    </row>
    <row r="494" spans="6:12" ht="15.75" customHeight="1" x14ac:dyDescent="0.2">
      <c r="F494" s="115"/>
      <c r="G494" s="115"/>
      <c r="I494" s="115"/>
      <c r="J494" s="115"/>
      <c r="K494" s="115"/>
      <c r="L494" s="115"/>
    </row>
    <row r="495" spans="6:12" ht="15.75" customHeight="1" x14ac:dyDescent="0.2">
      <c r="F495" s="115"/>
      <c r="G495" s="115"/>
      <c r="I495" s="115"/>
      <c r="J495" s="115"/>
      <c r="K495" s="115"/>
      <c r="L495" s="115"/>
    </row>
    <row r="496" spans="6:12" ht="15.75" customHeight="1" x14ac:dyDescent="0.2">
      <c r="F496" s="115"/>
      <c r="G496" s="115"/>
      <c r="I496" s="115"/>
      <c r="J496" s="115"/>
      <c r="K496" s="115"/>
      <c r="L496" s="115"/>
    </row>
    <row r="497" spans="6:12" ht="15.75" customHeight="1" x14ac:dyDescent="0.2">
      <c r="F497" s="115"/>
      <c r="G497" s="115"/>
      <c r="I497" s="115"/>
      <c r="J497" s="115"/>
      <c r="K497" s="115"/>
      <c r="L497" s="115"/>
    </row>
    <row r="498" spans="6:12" ht="15.75" customHeight="1" x14ac:dyDescent="0.2">
      <c r="F498" s="115"/>
      <c r="G498" s="115"/>
      <c r="I498" s="115"/>
      <c r="J498" s="115"/>
      <c r="K498" s="115"/>
      <c r="L498" s="115"/>
    </row>
    <row r="499" spans="6:12" ht="15.75" customHeight="1" x14ac:dyDescent="0.2">
      <c r="F499" s="115"/>
      <c r="G499" s="115"/>
      <c r="I499" s="115"/>
      <c r="J499" s="115"/>
      <c r="K499" s="115"/>
      <c r="L499" s="115"/>
    </row>
    <row r="500" spans="6:12" ht="15.75" customHeight="1" x14ac:dyDescent="0.2">
      <c r="F500" s="115"/>
      <c r="G500" s="115"/>
      <c r="I500" s="115"/>
      <c r="J500" s="115"/>
      <c r="K500" s="115"/>
      <c r="L500" s="115"/>
    </row>
    <row r="501" spans="6:12" ht="15.75" customHeight="1" x14ac:dyDescent="0.2">
      <c r="F501" s="115"/>
      <c r="G501" s="115"/>
      <c r="I501" s="115"/>
      <c r="J501" s="115"/>
      <c r="K501" s="115"/>
      <c r="L501" s="115"/>
    </row>
    <row r="502" spans="6:12" ht="15.75" customHeight="1" x14ac:dyDescent="0.2">
      <c r="F502" s="115"/>
      <c r="G502" s="115"/>
      <c r="I502" s="115"/>
      <c r="J502" s="115"/>
      <c r="K502" s="115"/>
      <c r="L502" s="115"/>
    </row>
    <row r="503" spans="6:12" ht="15.75" customHeight="1" x14ac:dyDescent="0.2">
      <c r="F503" s="115"/>
      <c r="G503" s="115"/>
      <c r="I503" s="115"/>
      <c r="J503" s="115"/>
      <c r="K503" s="115"/>
      <c r="L503" s="115"/>
    </row>
    <row r="504" spans="6:12" ht="15.75" customHeight="1" x14ac:dyDescent="0.2">
      <c r="F504" s="115"/>
      <c r="G504" s="115"/>
      <c r="I504" s="115"/>
      <c r="J504" s="115"/>
      <c r="K504" s="115"/>
      <c r="L504" s="115"/>
    </row>
    <row r="505" spans="6:12" ht="15.75" customHeight="1" x14ac:dyDescent="0.2">
      <c r="F505" s="115"/>
      <c r="G505" s="115"/>
      <c r="I505" s="115"/>
      <c r="J505" s="115"/>
      <c r="K505" s="115"/>
      <c r="L505" s="115"/>
    </row>
    <row r="506" spans="6:12" ht="15.75" customHeight="1" x14ac:dyDescent="0.2">
      <c r="F506" s="115"/>
      <c r="G506" s="115"/>
      <c r="I506" s="115"/>
      <c r="J506" s="115"/>
      <c r="K506" s="115"/>
      <c r="L506" s="115"/>
    </row>
    <row r="507" spans="6:12" ht="15.75" customHeight="1" x14ac:dyDescent="0.2">
      <c r="F507" s="115"/>
      <c r="G507" s="115"/>
      <c r="I507" s="115"/>
      <c r="J507" s="115"/>
      <c r="K507" s="115"/>
      <c r="L507" s="115"/>
    </row>
    <row r="508" spans="6:12" ht="15.75" customHeight="1" x14ac:dyDescent="0.2">
      <c r="F508" s="115"/>
      <c r="G508" s="115"/>
      <c r="I508" s="115"/>
      <c r="J508" s="115"/>
      <c r="K508" s="115"/>
      <c r="L508" s="115"/>
    </row>
    <row r="509" spans="6:12" ht="15.75" customHeight="1" x14ac:dyDescent="0.2">
      <c r="F509" s="115"/>
      <c r="G509" s="115"/>
      <c r="I509" s="115"/>
      <c r="J509" s="115"/>
      <c r="K509" s="115"/>
      <c r="L509" s="115"/>
    </row>
    <row r="510" spans="6:12" ht="15.75" customHeight="1" x14ac:dyDescent="0.2">
      <c r="F510" s="115"/>
      <c r="G510" s="115"/>
      <c r="I510" s="115"/>
      <c r="J510" s="115"/>
      <c r="K510" s="115"/>
      <c r="L510" s="115"/>
    </row>
    <row r="511" spans="6:12" ht="15.75" customHeight="1" x14ac:dyDescent="0.2">
      <c r="F511" s="115"/>
      <c r="G511" s="115"/>
      <c r="I511" s="115"/>
      <c r="J511" s="115"/>
      <c r="K511" s="115"/>
      <c r="L511" s="115"/>
    </row>
    <row r="512" spans="6:12" ht="15.75" customHeight="1" x14ac:dyDescent="0.2">
      <c r="F512" s="115"/>
      <c r="G512" s="115"/>
      <c r="I512" s="115"/>
      <c r="J512" s="115"/>
      <c r="K512" s="115"/>
      <c r="L512" s="115"/>
    </row>
    <row r="513" spans="6:12" ht="15.75" customHeight="1" x14ac:dyDescent="0.2">
      <c r="F513" s="115"/>
      <c r="G513" s="115"/>
      <c r="I513" s="115"/>
      <c r="J513" s="115"/>
      <c r="K513" s="115"/>
      <c r="L513" s="115"/>
    </row>
    <row r="514" spans="6:12" ht="15.75" customHeight="1" x14ac:dyDescent="0.2">
      <c r="F514" s="115"/>
      <c r="G514" s="115"/>
      <c r="I514" s="115"/>
      <c r="J514" s="115"/>
      <c r="K514" s="115"/>
      <c r="L514" s="115"/>
    </row>
    <row r="515" spans="6:12" ht="15.75" customHeight="1" x14ac:dyDescent="0.2">
      <c r="F515" s="115"/>
      <c r="G515" s="115"/>
      <c r="I515" s="115"/>
      <c r="J515" s="115"/>
      <c r="K515" s="115"/>
      <c r="L515" s="115"/>
    </row>
    <row r="516" spans="6:12" ht="15.75" customHeight="1" x14ac:dyDescent="0.2">
      <c r="F516" s="115"/>
      <c r="G516" s="115"/>
      <c r="I516" s="115"/>
      <c r="J516" s="115"/>
      <c r="K516" s="115"/>
      <c r="L516" s="115"/>
    </row>
    <row r="517" spans="6:12" ht="15.75" customHeight="1" x14ac:dyDescent="0.2">
      <c r="F517" s="115"/>
      <c r="G517" s="115"/>
      <c r="I517" s="115"/>
      <c r="J517" s="115"/>
      <c r="K517" s="115"/>
      <c r="L517" s="115"/>
    </row>
    <row r="518" spans="6:12" ht="15.75" customHeight="1" x14ac:dyDescent="0.2">
      <c r="F518" s="115"/>
      <c r="G518" s="115"/>
      <c r="I518" s="115"/>
      <c r="J518" s="115"/>
      <c r="K518" s="115"/>
      <c r="L518" s="115"/>
    </row>
    <row r="519" spans="6:12" ht="15.75" customHeight="1" x14ac:dyDescent="0.2">
      <c r="F519" s="115"/>
      <c r="G519" s="115"/>
      <c r="I519" s="115"/>
      <c r="J519" s="115"/>
      <c r="K519" s="115"/>
      <c r="L519" s="115"/>
    </row>
    <row r="520" spans="6:12" ht="15.75" customHeight="1" x14ac:dyDescent="0.2">
      <c r="F520" s="115"/>
      <c r="G520" s="115"/>
      <c r="I520" s="115"/>
      <c r="J520" s="115"/>
      <c r="K520" s="115"/>
      <c r="L520" s="115"/>
    </row>
    <row r="521" spans="6:12" ht="15.75" customHeight="1" x14ac:dyDescent="0.2">
      <c r="F521" s="115"/>
      <c r="G521" s="115"/>
      <c r="I521" s="115"/>
      <c r="J521" s="115"/>
      <c r="K521" s="115"/>
      <c r="L521" s="115"/>
    </row>
    <row r="522" spans="6:12" ht="15.75" customHeight="1" x14ac:dyDescent="0.2">
      <c r="F522" s="115"/>
      <c r="G522" s="115"/>
      <c r="I522" s="115"/>
      <c r="J522" s="115"/>
      <c r="K522" s="115"/>
      <c r="L522" s="115"/>
    </row>
    <row r="523" spans="6:12" ht="15.75" customHeight="1" x14ac:dyDescent="0.2">
      <c r="F523" s="115"/>
      <c r="G523" s="115"/>
      <c r="I523" s="115"/>
      <c r="J523" s="115"/>
      <c r="K523" s="115"/>
      <c r="L523" s="115"/>
    </row>
    <row r="524" spans="6:12" ht="15.75" customHeight="1" x14ac:dyDescent="0.2">
      <c r="F524" s="115"/>
      <c r="G524" s="115"/>
      <c r="I524" s="115"/>
      <c r="J524" s="115"/>
      <c r="K524" s="115"/>
      <c r="L524" s="115"/>
    </row>
    <row r="525" spans="6:12" ht="15.75" customHeight="1" x14ac:dyDescent="0.2">
      <c r="F525" s="115"/>
      <c r="G525" s="115"/>
      <c r="I525" s="115"/>
      <c r="J525" s="115"/>
      <c r="K525" s="115"/>
      <c r="L525" s="115"/>
    </row>
    <row r="526" spans="6:12" ht="15.75" customHeight="1" x14ac:dyDescent="0.2">
      <c r="F526" s="115"/>
      <c r="G526" s="115"/>
      <c r="I526" s="115"/>
      <c r="J526" s="115"/>
      <c r="K526" s="115"/>
      <c r="L526" s="115"/>
    </row>
    <row r="527" spans="6:12" ht="15.75" customHeight="1" x14ac:dyDescent="0.2">
      <c r="F527" s="115"/>
      <c r="G527" s="115"/>
      <c r="I527" s="115"/>
      <c r="J527" s="115"/>
      <c r="K527" s="115"/>
      <c r="L527" s="115"/>
    </row>
    <row r="528" spans="6:12" ht="15.75" customHeight="1" x14ac:dyDescent="0.2">
      <c r="F528" s="115"/>
      <c r="G528" s="115"/>
      <c r="I528" s="115"/>
      <c r="J528" s="115"/>
      <c r="K528" s="115"/>
      <c r="L528" s="115"/>
    </row>
    <row r="529" spans="6:12" ht="15.75" customHeight="1" x14ac:dyDescent="0.2">
      <c r="F529" s="115"/>
      <c r="G529" s="115"/>
      <c r="I529" s="115"/>
      <c r="J529" s="115"/>
      <c r="K529" s="115"/>
      <c r="L529" s="115"/>
    </row>
    <row r="530" spans="6:12" ht="15.75" customHeight="1" x14ac:dyDescent="0.2">
      <c r="F530" s="115"/>
      <c r="G530" s="115"/>
      <c r="I530" s="115"/>
      <c r="J530" s="115"/>
      <c r="K530" s="115"/>
      <c r="L530" s="115"/>
    </row>
    <row r="531" spans="6:12" ht="15.75" customHeight="1" x14ac:dyDescent="0.2">
      <c r="F531" s="115"/>
      <c r="G531" s="115"/>
      <c r="I531" s="115"/>
      <c r="J531" s="115"/>
      <c r="K531" s="115"/>
      <c r="L531" s="115"/>
    </row>
    <row r="532" spans="6:12" ht="15.75" customHeight="1" x14ac:dyDescent="0.2">
      <c r="F532" s="115"/>
      <c r="G532" s="115"/>
      <c r="I532" s="115"/>
      <c r="J532" s="115"/>
      <c r="K532" s="115"/>
      <c r="L532" s="115"/>
    </row>
    <row r="533" spans="6:12" ht="15.75" customHeight="1" x14ac:dyDescent="0.2">
      <c r="F533" s="115"/>
      <c r="G533" s="115"/>
      <c r="I533" s="115"/>
      <c r="J533" s="115"/>
      <c r="K533" s="115"/>
      <c r="L533" s="115"/>
    </row>
    <row r="534" spans="6:12" ht="15.75" customHeight="1" x14ac:dyDescent="0.2">
      <c r="F534" s="115"/>
      <c r="G534" s="115"/>
      <c r="I534" s="115"/>
      <c r="J534" s="115"/>
      <c r="K534" s="115"/>
      <c r="L534" s="115"/>
    </row>
    <row r="535" spans="6:12" ht="15.75" customHeight="1" x14ac:dyDescent="0.2">
      <c r="F535" s="115"/>
      <c r="G535" s="115"/>
      <c r="I535" s="115"/>
      <c r="J535" s="115"/>
      <c r="K535" s="115"/>
      <c r="L535" s="115"/>
    </row>
    <row r="536" spans="6:12" ht="15.75" customHeight="1" x14ac:dyDescent="0.2">
      <c r="F536" s="115"/>
      <c r="G536" s="115"/>
      <c r="I536" s="115"/>
      <c r="J536" s="115"/>
      <c r="K536" s="115"/>
      <c r="L536" s="115"/>
    </row>
    <row r="537" spans="6:12" ht="15.75" customHeight="1" x14ac:dyDescent="0.2">
      <c r="F537" s="115"/>
      <c r="G537" s="115"/>
      <c r="I537" s="115"/>
      <c r="J537" s="115"/>
      <c r="K537" s="115"/>
      <c r="L537" s="115"/>
    </row>
    <row r="538" spans="6:12" ht="15.75" customHeight="1" x14ac:dyDescent="0.2">
      <c r="F538" s="115"/>
      <c r="G538" s="115"/>
      <c r="I538" s="115"/>
      <c r="J538" s="115"/>
      <c r="K538" s="115"/>
      <c r="L538" s="115"/>
    </row>
    <row r="539" spans="6:12" ht="15.75" customHeight="1" x14ac:dyDescent="0.2">
      <c r="F539" s="115"/>
      <c r="G539" s="115"/>
      <c r="I539" s="115"/>
      <c r="J539" s="115"/>
      <c r="K539" s="115"/>
      <c r="L539" s="115"/>
    </row>
    <row r="540" spans="6:12" ht="15.75" customHeight="1" x14ac:dyDescent="0.2">
      <c r="F540" s="115"/>
      <c r="G540" s="115"/>
      <c r="I540" s="115"/>
      <c r="J540" s="115"/>
      <c r="K540" s="115"/>
      <c r="L540" s="115"/>
    </row>
    <row r="541" spans="6:12" ht="15.75" customHeight="1" x14ac:dyDescent="0.2">
      <c r="F541" s="115"/>
      <c r="G541" s="115"/>
      <c r="I541" s="115"/>
      <c r="J541" s="115"/>
      <c r="K541" s="115"/>
      <c r="L541" s="115"/>
    </row>
    <row r="542" spans="6:12" ht="15.75" customHeight="1" x14ac:dyDescent="0.2">
      <c r="F542" s="115"/>
      <c r="G542" s="115"/>
      <c r="I542" s="115"/>
      <c r="J542" s="115"/>
      <c r="K542" s="115"/>
      <c r="L542" s="115"/>
    </row>
    <row r="543" spans="6:12" ht="15.75" customHeight="1" x14ac:dyDescent="0.2">
      <c r="F543" s="115"/>
      <c r="G543" s="115"/>
      <c r="I543" s="115"/>
      <c r="J543" s="115"/>
      <c r="K543" s="115"/>
      <c r="L543" s="115"/>
    </row>
    <row r="544" spans="6:12" ht="15.75" customHeight="1" x14ac:dyDescent="0.2">
      <c r="F544" s="115"/>
      <c r="G544" s="115"/>
      <c r="I544" s="115"/>
      <c r="J544" s="115"/>
      <c r="K544" s="115"/>
      <c r="L544" s="115"/>
    </row>
    <row r="545" spans="6:12" ht="15.75" customHeight="1" x14ac:dyDescent="0.2">
      <c r="F545" s="115"/>
      <c r="G545" s="115"/>
      <c r="I545" s="115"/>
      <c r="J545" s="115"/>
      <c r="K545" s="115"/>
      <c r="L545" s="115"/>
    </row>
    <row r="546" spans="6:12" ht="15.75" customHeight="1" x14ac:dyDescent="0.2">
      <c r="F546" s="115"/>
      <c r="G546" s="115"/>
      <c r="I546" s="115"/>
      <c r="J546" s="115"/>
      <c r="K546" s="115"/>
      <c r="L546" s="115"/>
    </row>
    <row r="547" spans="6:12" ht="15.75" customHeight="1" x14ac:dyDescent="0.2">
      <c r="F547" s="115"/>
      <c r="G547" s="115"/>
      <c r="I547" s="115"/>
      <c r="J547" s="115"/>
      <c r="K547" s="115"/>
      <c r="L547" s="115"/>
    </row>
    <row r="548" spans="6:12" ht="15.75" customHeight="1" x14ac:dyDescent="0.2">
      <c r="F548" s="115"/>
      <c r="G548" s="115"/>
      <c r="I548" s="115"/>
      <c r="J548" s="115"/>
      <c r="K548" s="115"/>
      <c r="L548" s="115"/>
    </row>
    <row r="549" spans="6:12" ht="15.75" customHeight="1" x14ac:dyDescent="0.2">
      <c r="F549" s="115"/>
      <c r="G549" s="115"/>
      <c r="I549" s="115"/>
      <c r="J549" s="115"/>
      <c r="K549" s="115"/>
      <c r="L549" s="115"/>
    </row>
    <row r="550" spans="6:12" ht="15.75" customHeight="1" x14ac:dyDescent="0.2">
      <c r="F550" s="115"/>
      <c r="G550" s="115"/>
      <c r="I550" s="115"/>
      <c r="J550" s="115"/>
      <c r="K550" s="115"/>
      <c r="L550" s="115"/>
    </row>
    <row r="551" spans="6:12" ht="15.75" customHeight="1" x14ac:dyDescent="0.2">
      <c r="F551" s="115"/>
      <c r="G551" s="115"/>
      <c r="I551" s="115"/>
      <c r="J551" s="115"/>
      <c r="K551" s="115"/>
      <c r="L551" s="115"/>
    </row>
    <row r="552" spans="6:12" ht="15.75" customHeight="1" x14ac:dyDescent="0.2">
      <c r="F552" s="115"/>
      <c r="G552" s="115"/>
      <c r="I552" s="115"/>
      <c r="J552" s="115"/>
      <c r="K552" s="115"/>
      <c r="L552" s="115"/>
    </row>
    <row r="553" spans="6:12" ht="15.75" customHeight="1" x14ac:dyDescent="0.2">
      <c r="F553" s="115"/>
      <c r="G553" s="115"/>
      <c r="I553" s="115"/>
      <c r="J553" s="115"/>
      <c r="K553" s="115"/>
      <c r="L553" s="115"/>
    </row>
    <row r="554" spans="6:12" ht="15.75" customHeight="1" x14ac:dyDescent="0.2">
      <c r="F554" s="115"/>
      <c r="G554" s="115"/>
      <c r="I554" s="115"/>
      <c r="J554" s="115"/>
      <c r="K554" s="115"/>
      <c r="L554" s="115"/>
    </row>
    <row r="555" spans="6:12" ht="15.75" customHeight="1" x14ac:dyDescent="0.2">
      <c r="F555" s="115"/>
      <c r="G555" s="115"/>
      <c r="I555" s="115"/>
      <c r="J555" s="115"/>
      <c r="K555" s="115"/>
      <c r="L555" s="115"/>
    </row>
    <row r="556" spans="6:12" ht="15.75" customHeight="1" x14ac:dyDescent="0.2">
      <c r="F556" s="115"/>
      <c r="G556" s="115"/>
      <c r="I556" s="115"/>
      <c r="J556" s="115"/>
      <c r="K556" s="115"/>
      <c r="L556" s="115"/>
    </row>
    <row r="557" spans="6:12" ht="15.75" customHeight="1" x14ac:dyDescent="0.2">
      <c r="F557" s="115"/>
      <c r="G557" s="115"/>
      <c r="I557" s="115"/>
      <c r="J557" s="115"/>
      <c r="K557" s="115"/>
      <c r="L557" s="115"/>
    </row>
    <row r="558" spans="6:12" ht="15.75" customHeight="1" x14ac:dyDescent="0.2">
      <c r="F558" s="115"/>
      <c r="G558" s="115"/>
      <c r="I558" s="115"/>
      <c r="J558" s="115"/>
      <c r="K558" s="115"/>
      <c r="L558" s="115"/>
    </row>
    <row r="559" spans="6:12" ht="15.75" customHeight="1" x14ac:dyDescent="0.2">
      <c r="F559" s="115"/>
      <c r="G559" s="115"/>
      <c r="I559" s="115"/>
      <c r="J559" s="115"/>
      <c r="K559" s="115"/>
      <c r="L559" s="115"/>
    </row>
    <row r="560" spans="6:12" ht="15.75" customHeight="1" x14ac:dyDescent="0.2">
      <c r="F560" s="115"/>
      <c r="G560" s="115"/>
      <c r="I560" s="115"/>
      <c r="J560" s="115"/>
      <c r="K560" s="115"/>
      <c r="L560" s="115"/>
    </row>
    <row r="561" spans="6:12" ht="15.75" customHeight="1" x14ac:dyDescent="0.2">
      <c r="F561" s="115"/>
      <c r="G561" s="115"/>
      <c r="I561" s="115"/>
      <c r="J561" s="115"/>
      <c r="K561" s="115"/>
      <c r="L561" s="115"/>
    </row>
    <row r="562" spans="6:12" ht="15.75" customHeight="1" x14ac:dyDescent="0.2">
      <c r="F562" s="115"/>
      <c r="G562" s="115"/>
      <c r="I562" s="115"/>
      <c r="J562" s="115"/>
      <c r="K562" s="115"/>
      <c r="L562" s="115"/>
    </row>
    <row r="563" spans="6:12" ht="15.75" customHeight="1" x14ac:dyDescent="0.2">
      <c r="F563" s="115"/>
      <c r="G563" s="115"/>
      <c r="I563" s="115"/>
      <c r="J563" s="115"/>
      <c r="K563" s="115"/>
      <c r="L563" s="115"/>
    </row>
    <row r="564" spans="6:12" ht="15.75" customHeight="1" x14ac:dyDescent="0.2">
      <c r="F564" s="115"/>
      <c r="G564" s="115"/>
      <c r="I564" s="115"/>
      <c r="J564" s="115"/>
      <c r="K564" s="115"/>
      <c r="L564" s="115"/>
    </row>
    <row r="565" spans="6:12" ht="15.75" customHeight="1" x14ac:dyDescent="0.2">
      <c r="F565" s="115"/>
      <c r="G565" s="115"/>
      <c r="I565" s="115"/>
      <c r="J565" s="115"/>
      <c r="K565" s="115"/>
      <c r="L565" s="115"/>
    </row>
    <row r="566" spans="6:12" ht="15.75" customHeight="1" x14ac:dyDescent="0.2">
      <c r="F566" s="115"/>
      <c r="G566" s="115"/>
      <c r="I566" s="115"/>
      <c r="J566" s="115"/>
      <c r="K566" s="115"/>
      <c r="L566" s="115"/>
    </row>
    <row r="567" spans="6:12" ht="15.75" customHeight="1" x14ac:dyDescent="0.2">
      <c r="F567" s="115"/>
      <c r="G567" s="115"/>
      <c r="I567" s="115"/>
      <c r="J567" s="115"/>
      <c r="K567" s="115"/>
      <c r="L567" s="115"/>
    </row>
    <row r="568" spans="6:12" ht="15.75" customHeight="1" x14ac:dyDescent="0.2">
      <c r="F568" s="115"/>
      <c r="G568" s="115"/>
      <c r="I568" s="115"/>
      <c r="J568" s="115"/>
      <c r="K568" s="115"/>
      <c r="L568" s="115"/>
    </row>
    <row r="569" spans="6:12" ht="15.75" customHeight="1" x14ac:dyDescent="0.2">
      <c r="F569" s="115"/>
      <c r="G569" s="115"/>
      <c r="I569" s="115"/>
      <c r="J569" s="115"/>
      <c r="K569" s="115"/>
      <c r="L569" s="115"/>
    </row>
    <row r="570" spans="6:12" ht="15.75" customHeight="1" x14ac:dyDescent="0.2">
      <c r="F570" s="115"/>
      <c r="G570" s="115"/>
      <c r="I570" s="115"/>
      <c r="J570" s="115"/>
      <c r="K570" s="115"/>
      <c r="L570" s="115"/>
    </row>
    <row r="571" spans="6:12" ht="15.75" customHeight="1" x14ac:dyDescent="0.2">
      <c r="F571" s="115"/>
      <c r="G571" s="115"/>
      <c r="I571" s="115"/>
      <c r="J571" s="115"/>
      <c r="K571" s="115"/>
      <c r="L571" s="115"/>
    </row>
    <row r="572" spans="6:12" ht="15.75" customHeight="1" x14ac:dyDescent="0.2">
      <c r="F572" s="115"/>
      <c r="G572" s="115"/>
      <c r="I572" s="115"/>
      <c r="J572" s="115"/>
      <c r="K572" s="115"/>
      <c r="L572" s="115"/>
    </row>
    <row r="573" spans="6:12" ht="15.75" customHeight="1" x14ac:dyDescent="0.2">
      <c r="F573" s="115"/>
      <c r="G573" s="115"/>
      <c r="I573" s="115"/>
      <c r="J573" s="115"/>
      <c r="K573" s="115"/>
      <c r="L573" s="115"/>
    </row>
    <row r="574" spans="6:12" ht="15.75" customHeight="1" x14ac:dyDescent="0.2">
      <c r="F574" s="115"/>
      <c r="G574" s="115"/>
      <c r="I574" s="115"/>
      <c r="J574" s="115"/>
      <c r="K574" s="115"/>
      <c r="L574" s="115"/>
    </row>
    <row r="575" spans="6:12" ht="15.75" customHeight="1" x14ac:dyDescent="0.2">
      <c r="F575" s="115"/>
      <c r="G575" s="115"/>
      <c r="I575" s="115"/>
      <c r="J575" s="115"/>
      <c r="K575" s="115"/>
      <c r="L575" s="115"/>
    </row>
    <row r="576" spans="6:12" ht="15.75" customHeight="1" x14ac:dyDescent="0.2">
      <c r="F576" s="115"/>
      <c r="G576" s="115"/>
      <c r="I576" s="115"/>
      <c r="J576" s="115"/>
      <c r="K576" s="115"/>
      <c r="L576" s="115"/>
    </row>
    <row r="577" spans="6:12" ht="15.75" customHeight="1" x14ac:dyDescent="0.2">
      <c r="F577" s="115"/>
      <c r="G577" s="115"/>
      <c r="I577" s="115"/>
      <c r="J577" s="115"/>
      <c r="K577" s="115"/>
      <c r="L577" s="115"/>
    </row>
    <row r="578" spans="6:12" ht="15.75" customHeight="1" x14ac:dyDescent="0.2">
      <c r="F578" s="115"/>
      <c r="G578" s="115"/>
      <c r="I578" s="115"/>
      <c r="J578" s="115"/>
      <c r="K578" s="115"/>
      <c r="L578" s="115"/>
    </row>
    <row r="579" spans="6:12" ht="15.75" customHeight="1" x14ac:dyDescent="0.2">
      <c r="F579" s="115"/>
      <c r="G579" s="115"/>
      <c r="I579" s="115"/>
      <c r="J579" s="115"/>
      <c r="K579" s="115"/>
      <c r="L579" s="115"/>
    </row>
    <row r="580" spans="6:12" ht="15.75" customHeight="1" x14ac:dyDescent="0.2">
      <c r="F580" s="115"/>
      <c r="G580" s="115"/>
      <c r="I580" s="115"/>
      <c r="J580" s="115"/>
      <c r="K580" s="115"/>
      <c r="L580" s="115"/>
    </row>
    <row r="581" spans="6:12" ht="15.75" customHeight="1" x14ac:dyDescent="0.2">
      <c r="F581" s="115"/>
      <c r="G581" s="115"/>
      <c r="I581" s="115"/>
      <c r="J581" s="115"/>
      <c r="K581" s="115"/>
      <c r="L581" s="115"/>
    </row>
    <row r="582" spans="6:12" ht="15.75" customHeight="1" x14ac:dyDescent="0.2">
      <c r="F582" s="115"/>
      <c r="G582" s="115"/>
      <c r="I582" s="115"/>
      <c r="J582" s="115"/>
      <c r="K582" s="115"/>
      <c r="L582" s="115"/>
    </row>
    <row r="583" spans="6:12" ht="15.75" customHeight="1" x14ac:dyDescent="0.2">
      <c r="F583" s="115"/>
      <c r="G583" s="115"/>
      <c r="I583" s="115"/>
      <c r="J583" s="115"/>
      <c r="K583" s="115"/>
      <c r="L583" s="115"/>
    </row>
    <row r="584" spans="6:12" ht="15.75" customHeight="1" x14ac:dyDescent="0.2">
      <c r="F584" s="115"/>
      <c r="G584" s="115"/>
      <c r="I584" s="115"/>
      <c r="J584" s="115"/>
      <c r="K584" s="115"/>
      <c r="L584" s="115"/>
    </row>
    <row r="585" spans="6:12" ht="15.75" customHeight="1" x14ac:dyDescent="0.2">
      <c r="F585" s="115"/>
      <c r="G585" s="115"/>
      <c r="I585" s="115"/>
      <c r="J585" s="115"/>
      <c r="K585" s="115"/>
      <c r="L585" s="115"/>
    </row>
    <row r="586" spans="6:12" ht="15.75" customHeight="1" x14ac:dyDescent="0.2">
      <c r="F586" s="115"/>
      <c r="G586" s="115"/>
      <c r="I586" s="115"/>
      <c r="J586" s="115"/>
      <c r="K586" s="115"/>
      <c r="L586" s="115"/>
    </row>
    <row r="587" spans="6:12" ht="15.75" customHeight="1" x14ac:dyDescent="0.2">
      <c r="F587" s="115"/>
      <c r="G587" s="115"/>
      <c r="I587" s="115"/>
      <c r="J587" s="115"/>
      <c r="K587" s="115"/>
      <c r="L587" s="115"/>
    </row>
    <row r="588" spans="6:12" ht="15.75" customHeight="1" x14ac:dyDescent="0.2">
      <c r="F588" s="115"/>
      <c r="G588" s="115"/>
      <c r="I588" s="115"/>
      <c r="J588" s="115"/>
      <c r="K588" s="115"/>
      <c r="L588" s="115"/>
    </row>
    <row r="589" spans="6:12" ht="15.75" customHeight="1" x14ac:dyDescent="0.2">
      <c r="F589" s="115"/>
      <c r="G589" s="115"/>
      <c r="I589" s="115"/>
      <c r="J589" s="115"/>
      <c r="K589" s="115"/>
      <c r="L589" s="115"/>
    </row>
    <row r="590" spans="6:12" ht="15.75" customHeight="1" x14ac:dyDescent="0.2">
      <c r="F590" s="115"/>
      <c r="G590" s="115"/>
      <c r="I590" s="115"/>
      <c r="J590" s="115"/>
      <c r="K590" s="115"/>
      <c r="L590" s="115"/>
    </row>
    <row r="591" spans="6:12" ht="15.75" customHeight="1" x14ac:dyDescent="0.2">
      <c r="F591" s="115"/>
      <c r="G591" s="115"/>
      <c r="I591" s="115"/>
      <c r="J591" s="115"/>
      <c r="K591" s="115"/>
      <c r="L591" s="115"/>
    </row>
    <row r="592" spans="6:12" ht="15.75" customHeight="1" x14ac:dyDescent="0.2">
      <c r="F592" s="115"/>
      <c r="G592" s="115"/>
      <c r="I592" s="115"/>
      <c r="J592" s="115"/>
      <c r="K592" s="115"/>
      <c r="L592" s="115"/>
    </row>
    <row r="593" spans="6:12" ht="15.75" customHeight="1" x14ac:dyDescent="0.2">
      <c r="F593" s="115"/>
      <c r="G593" s="115"/>
      <c r="I593" s="115"/>
      <c r="J593" s="115"/>
      <c r="K593" s="115"/>
      <c r="L593" s="115"/>
    </row>
    <row r="594" spans="6:12" ht="15.75" customHeight="1" x14ac:dyDescent="0.2">
      <c r="F594" s="115"/>
      <c r="G594" s="115"/>
      <c r="I594" s="115"/>
      <c r="J594" s="115"/>
      <c r="K594" s="115"/>
      <c r="L594" s="115"/>
    </row>
    <row r="595" spans="6:12" ht="15.75" customHeight="1" x14ac:dyDescent="0.2">
      <c r="F595" s="115"/>
      <c r="G595" s="115"/>
      <c r="I595" s="115"/>
      <c r="J595" s="115"/>
      <c r="K595" s="115"/>
      <c r="L595" s="115"/>
    </row>
    <row r="596" spans="6:12" ht="15.75" customHeight="1" x14ac:dyDescent="0.2">
      <c r="F596" s="115"/>
      <c r="G596" s="115"/>
      <c r="I596" s="115"/>
      <c r="J596" s="115"/>
      <c r="K596" s="115"/>
      <c r="L596" s="115"/>
    </row>
    <row r="597" spans="6:12" ht="15.75" customHeight="1" x14ac:dyDescent="0.2">
      <c r="F597" s="115"/>
      <c r="G597" s="115"/>
      <c r="I597" s="115"/>
      <c r="J597" s="115"/>
      <c r="K597" s="115"/>
      <c r="L597" s="115"/>
    </row>
    <row r="598" spans="6:12" ht="15.75" customHeight="1" x14ac:dyDescent="0.2">
      <c r="F598" s="115"/>
      <c r="G598" s="115"/>
      <c r="I598" s="115"/>
      <c r="J598" s="115"/>
      <c r="K598" s="115"/>
      <c r="L598" s="115"/>
    </row>
    <row r="599" spans="6:12" ht="15.75" customHeight="1" x14ac:dyDescent="0.2">
      <c r="F599" s="115"/>
      <c r="G599" s="115"/>
      <c r="I599" s="115"/>
      <c r="J599" s="115"/>
      <c r="K599" s="115"/>
      <c r="L599" s="115"/>
    </row>
    <row r="600" spans="6:12" ht="15.75" customHeight="1" x14ac:dyDescent="0.2">
      <c r="F600" s="115"/>
      <c r="G600" s="115"/>
      <c r="I600" s="115"/>
      <c r="J600" s="115"/>
      <c r="K600" s="115"/>
      <c r="L600" s="115"/>
    </row>
    <row r="601" spans="6:12" ht="15.75" customHeight="1" x14ac:dyDescent="0.2">
      <c r="F601" s="115"/>
      <c r="G601" s="115"/>
      <c r="I601" s="115"/>
      <c r="J601" s="115"/>
      <c r="K601" s="115"/>
      <c r="L601" s="115"/>
    </row>
    <row r="602" spans="6:12" ht="15.75" customHeight="1" x14ac:dyDescent="0.2">
      <c r="F602" s="115"/>
      <c r="G602" s="115"/>
      <c r="I602" s="115"/>
      <c r="J602" s="115"/>
      <c r="K602" s="115"/>
      <c r="L602" s="115"/>
    </row>
    <row r="603" spans="6:12" ht="15.75" customHeight="1" x14ac:dyDescent="0.2">
      <c r="F603" s="115"/>
      <c r="G603" s="115"/>
      <c r="I603" s="115"/>
      <c r="J603" s="115"/>
      <c r="K603" s="115"/>
      <c r="L603" s="115"/>
    </row>
    <row r="604" spans="6:12" ht="15.75" customHeight="1" x14ac:dyDescent="0.2">
      <c r="F604" s="115"/>
      <c r="G604" s="115"/>
      <c r="I604" s="115"/>
      <c r="J604" s="115"/>
      <c r="K604" s="115"/>
      <c r="L604" s="115"/>
    </row>
    <row r="605" spans="6:12" ht="15.75" customHeight="1" x14ac:dyDescent="0.2">
      <c r="F605" s="115"/>
      <c r="G605" s="115"/>
      <c r="I605" s="115"/>
      <c r="J605" s="115"/>
      <c r="K605" s="115"/>
      <c r="L605" s="115"/>
    </row>
    <row r="606" spans="6:12" ht="15.75" customHeight="1" x14ac:dyDescent="0.2">
      <c r="F606" s="115"/>
      <c r="G606" s="115"/>
      <c r="I606" s="115"/>
      <c r="J606" s="115"/>
      <c r="K606" s="115"/>
      <c r="L606" s="115"/>
    </row>
    <row r="607" spans="6:12" ht="15.75" customHeight="1" x14ac:dyDescent="0.2">
      <c r="F607" s="115"/>
      <c r="G607" s="115"/>
      <c r="I607" s="115"/>
      <c r="J607" s="115"/>
      <c r="K607" s="115"/>
      <c r="L607" s="115"/>
    </row>
    <row r="608" spans="6:12" ht="15.75" customHeight="1" x14ac:dyDescent="0.2">
      <c r="F608" s="115"/>
      <c r="G608" s="115"/>
      <c r="I608" s="115"/>
      <c r="J608" s="115"/>
      <c r="K608" s="115"/>
      <c r="L608" s="115"/>
    </row>
    <row r="609" spans="6:12" ht="15.75" customHeight="1" x14ac:dyDescent="0.2">
      <c r="F609" s="115"/>
      <c r="G609" s="115"/>
      <c r="I609" s="115"/>
      <c r="J609" s="115"/>
      <c r="K609" s="115"/>
      <c r="L609" s="115"/>
    </row>
    <row r="610" spans="6:12" ht="15.75" customHeight="1" x14ac:dyDescent="0.2">
      <c r="F610" s="115"/>
      <c r="G610" s="115"/>
      <c r="I610" s="115"/>
      <c r="J610" s="115"/>
      <c r="K610" s="115"/>
      <c r="L610" s="115"/>
    </row>
    <row r="611" spans="6:12" ht="15.75" customHeight="1" x14ac:dyDescent="0.2">
      <c r="F611" s="115"/>
      <c r="G611" s="115"/>
      <c r="I611" s="115"/>
      <c r="J611" s="115"/>
      <c r="K611" s="115"/>
      <c r="L611" s="115"/>
    </row>
    <row r="612" spans="6:12" ht="15.75" customHeight="1" x14ac:dyDescent="0.2">
      <c r="F612" s="115"/>
      <c r="G612" s="115"/>
      <c r="I612" s="115"/>
      <c r="J612" s="115"/>
      <c r="K612" s="115"/>
      <c r="L612" s="115"/>
    </row>
    <row r="613" spans="6:12" ht="15.75" customHeight="1" x14ac:dyDescent="0.2">
      <c r="F613" s="115"/>
      <c r="G613" s="115"/>
      <c r="I613" s="115"/>
      <c r="J613" s="115"/>
      <c r="K613" s="115"/>
      <c r="L613" s="115"/>
    </row>
    <row r="614" spans="6:12" ht="15.75" customHeight="1" x14ac:dyDescent="0.2">
      <c r="F614" s="115"/>
      <c r="G614" s="115"/>
      <c r="I614" s="115"/>
      <c r="J614" s="115"/>
      <c r="K614" s="115"/>
      <c r="L614" s="115"/>
    </row>
    <row r="615" spans="6:12" ht="15.75" customHeight="1" x14ac:dyDescent="0.2">
      <c r="F615" s="115"/>
      <c r="G615" s="115"/>
      <c r="I615" s="115"/>
      <c r="J615" s="115"/>
      <c r="K615" s="115"/>
      <c r="L615" s="115"/>
    </row>
    <row r="616" spans="6:12" ht="15.75" customHeight="1" x14ac:dyDescent="0.2">
      <c r="F616" s="115"/>
      <c r="G616" s="115"/>
      <c r="I616" s="115"/>
      <c r="J616" s="115"/>
      <c r="K616" s="115"/>
      <c r="L616" s="115"/>
    </row>
    <row r="617" spans="6:12" ht="15.75" customHeight="1" x14ac:dyDescent="0.2">
      <c r="F617" s="115"/>
      <c r="G617" s="115"/>
      <c r="I617" s="115"/>
      <c r="J617" s="115"/>
      <c r="K617" s="115"/>
      <c r="L617" s="115"/>
    </row>
    <row r="618" spans="6:12" ht="15.75" customHeight="1" x14ac:dyDescent="0.2">
      <c r="F618" s="115"/>
      <c r="G618" s="115"/>
      <c r="I618" s="115"/>
      <c r="J618" s="115"/>
      <c r="K618" s="115"/>
      <c r="L618" s="115"/>
    </row>
    <row r="619" spans="6:12" ht="15.75" customHeight="1" x14ac:dyDescent="0.2">
      <c r="F619" s="115"/>
      <c r="G619" s="115"/>
      <c r="I619" s="115"/>
      <c r="J619" s="115"/>
      <c r="K619" s="115"/>
      <c r="L619" s="115"/>
    </row>
    <row r="620" spans="6:12" ht="15.75" customHeight="1" x14ac:dyDescent="0.2">
      <c r="F620" s="115"/>
      <c r="G620" s="115"/>
      <c r="I620" s="115"/>
      <c r="J620" s="115"/>
      <c r="K620" s="115"/>
      <c r="L620" s="115"/>
    </row>
    <row r="621" spans="6:12" ht="15.75" customHeight="1" x14ac:dyDescent="0.2">
      <c r="F621" s="115"/>
      <c r="G621" s="115"/>
      <c r="I621" s="115"/>
      <c r="J621" s="115"/>
      <c r="K621" s="115"/>
      <c r="L621" s="115"/>
    </row>
    <row r="622" spans="6:12" ht="15.75" customHeight="1" x14ac:dyDescent="0.2">
      <c r="F622" s="115"/>
      <c r="G622" s="115"/>
      <c r="I622" s="115"/>
      <c r="J622" s="115"/>
      <c r="K622" s="115"/>
      <c r="L622" s="115"/>
    </row>
    <row r="623" spans="6:12" ht="15.75" customHeight="1" x14ac:dyDescent="0.2">
      <c r="F623" s="115"/>
      <c r="G623" s="115"/>
      <c r="I623" s="115"/>
      <c r="J623" s="115"/>
      <c r="K623" s="115"/>
      <c r="L623" s="115"/>
    </row>
    <row r="624" spans="6:12" ht="15.75" customHeight="1" x14ac:dyDescent="0.2">
      <c r="F624" s="115"/>
      <c r="G624" s="115"/>
      <c r="I624" s="115"/>
      <c r="J624" s="115"/>
      <c r="K624" s="115"/>
      <c r="L624" s="115"/>
    </row>
    <row r="625" spans="6:12" ht="15.75" customHeight="1" x14ac:dyDescent="0.2">
      <c r="F625" s="115"/>
      <c r="G625" s="115"/>
      <c r="I625" s="115"/>
      <c r="J625" s="115"/>
      <c r="K625" s="115"/>
      <c r="L625" s="115"/>
    </row>
    <row r="626" spans="6:12" ht="15.75" customHeight="1" x14ac:dyDescent="0.2">
      <c r="F626" s="115"/>
      <c r="G626" s="115"/>
      <c r="I626" s="115"/>
      <c r="J626" s="115"/>
      <c r="K626" s="115"/>
      <c r="L626" s="115"/>
    </row>
    <row r="627" spans="6:12" ht="15.75" customHeight="1" x14ac:dyDescent="0.2">
      <c r="F627" s="115"/>
      <c r="G627" s="115"/>
      <c r="I627" s="115"/>
      <c r="J627" s="115"/>
      <c r="K627" s="115"/>
      <c r="L627" s="115"/>
    </row>
    <row r="628" spans="6:12" ht="15.75" customHeight="1" x14ac:dyDescent="0.2">
      <c r="F628" s="115"/>
      <c r="G628" s="115"/>
      <c r="I628" s="115"/>
      <c r="J628" s="115"/>
      <c r="K628" s="115"/>
      <c r="L628" s="115"/>
    </row>
    <row r="629" spans="6:12" ht="15.75" customHeight="1" x14ac:dyDescent="0.2">
      <c r="F629" s="115"/>
      <c r="G629" s="115"/>
      <c r="I629" s="115"/>
      <c r="J629" s="115"/>
      <c r="K629" s="115"/>
      <c r="L629" s="115"/>
    </row>
    <row r="630" spans="6:12" ht="15.75" customHeight="1" x14ac:dyDescent="0.2">
      <c r="F630" s="115"/>
      <c r="G630" s="115"/>
      <c r="I630" s="115"/>
      <c r="J630" s="115"/>
      <c r="K630" s="115"/>
      <c r="L630" s="115"/>
    </row>
    <row r="631" spans="6:12" ht="15.75" customHeight="1" x14ac:dyDescent="0.2">
      <c r="F631" s="115"/>
      <c r="G631" s="115"/>
      <c r="I631" s="115"/>
      <c r="J631" s="115"/>
      <c r="K631" s="115"/>
      <c r="L631" s="115"/>
    </row>
    <row r="632" spans="6:12" ht="15.75" customHeight="1" x14ac:dyDescent="0.2">
      <c r="F632" s="115"/>
      <c r="G632" s="115"/>
      <c r="I632" s="115"/>
      <c r="J632" s="115"/>
      <c r="K632" s="115"/>
      <c r="L632" s="115"/>
    </row>
    <row r="633" spans="6:12" ht="15.75" customHeight="1" x14ac:dyDescent="0.2">
      <c r="F633" s="115"/>
      <c r="G633" s="115"/>
      <c r="I633" s="115"/>
      <c r="J633" s="115"/>
      <c r="K633" s="115"/>
      <c r="L633" s="115"/>
    </row>
    <row r="634" spans="6:12" ht="15.75" customHeight="1" x14ac:dyDescent="0.2">
      <c r="F634" s="115"/>
      <c r="G634" s="115"/>
      <c r="I634" s="115"/>
      <c r="J634" s="115"/>
      <c r="K634" s="115"/>
      <c r="L634" s="115"/>
    </row>
    <row r="635" spans="6:12" ht="15.75" customHeight="1" x14ac:dyDescent="0.2">
      <c r="F635" s="115"/>
      <c r="G635" s="115"/>
      <c r="I635" s="115"/>
      <c r="J635" s="115"/>
      <c r="K635" s="115"/>
      <c r="L635" s="115"/>
    </row>
    <row r="636" spans="6:12" ht="15.75" customHeight="1" x14ac:dyDescent="0.2">
      <c r="F636" s="115"/>
      <c r="G636" s="115"/>
      <c r="I636" s="115"/>
      <c r="J636" s="115"/>
      <c r="K636" s="115"/>
      <c r="L636" s="115"/>
    </row>
    <row r="637" spans="6:12" ht="15.75" customHeight="1" x14ac:dyDescent="0.2">
      <c r="F637" s="115"/>
      <c r="G637" s="115"/>
      <c r="I637" s="115"/>
      <c r="J637" s="115"/>
      <c r="K637" s="115"/>
      <c r="L637" s="115"/>
    </row>
    <row r="638" spans="6:12" ht="15.75" customHeight="1" x14ac:dyDescent="0.2">
      <c r="F638" s="115"/>
      <c r="G638" s="115"/>
      <c r="I638" s="115"/>
      <c r="J638" s="115"/>
      <c r="K638" s="115"/>
      <c r="L638" s="115"/>
    </row>
    <row r="639" spans="6:12" ht="15.75" customHeight="1" x14ac:dyDescent="0.2">
      <c r="F639" s="115"/>
      <c r="G639" s="115"/>
      <c r="I639" s="115"/>
      <c r="J639" s="115"/>
      <c r="K639" s="115"/>
      <c r="L639" s="115"/>
    </row>
    <row r="640" spans="6:12" ht="15.75" customHeight="1" x14ac:dyDescent="0.2">
      <c r="F640" s="115"/>
      <c r="G640" s="115"/>
      <c r="I640" s="115"/>
      <c r="J640" s="115"/>
      <c r="K640" s="115"/>
      <c r="L640" s="115"/>
    </row>
    <row r="641" spans="6:12" ht="15.75" customHeight="1" x14ac:dyDescent="0.2">
      <c r="F641" s="115"/>
      <c r="G641" s="115"/>
      <c r="I641" s="115"/>
      <c r="J641" s="115"/>
      <c r="K641" s="115"/>
      <c r="L641" s="115"/>
    </row>
    <row r="642" spans="6:12" ht="15.75" customHeight="1" x14ac:dyDescent="0.2">
      <c r="F642" s="115"/>
      <c r="G642" s="115"/>
      <c r="I642" s="115"/>
      <c r="J642" s="115"/>
      <c r="K642" s="115"/>
      <c r="L642" s="115"/>
    </row>
    <row r="643" spans="6:12" ht="15.75" customHeight="1" x14ac:dyDescent="0.2">
      <c r="F643" s="115"/>
      <c r="G643" s="115"/>
      <c r="I643" s="115"/>
      <c r="J643" s="115"/>
      <c r="K643" s="115"/>
      <c r="L643" s="115"/>
    </row>
    <row r="644" spans="6:12" ht="15.75" customHeight="1" x14ac:dyDescent="0.2">
      <c r="F644" s="115"/>
      <c r="G644" s="115"/>
      <c r="I644" s="115"/>
      <c r="J644" s="115"/>
      <c r="K644" s="115"/>
      <c r="L644" s="115"/>
    </row>
    <row r="645" spans="6:12" ht="15.75" customHeight="1" x14ac:dyDescent="0.2">
      <c r="F645" s="115"/>
      <c r="G645" s="115"/>
      <c r="I645" s="115"/>
      <c r="J645" s="115"/>
      <c r="K645" s="115"/>
      <c r="L645" s="115"/>
    </row>
    <row r="646" spans="6:12" ht="15.75" customHeight="1" x14ac:dyDescent="0.2">
      <c r="F646" s="115"/>
      <c r="G646" s="115"/>
      <c r="I646" s="115"/>
      <c r="J646" s="115"/>
      <c r="K646" s="115"/>
      <c r="L646" s="115"/>
    </row>
    <row r="647" spans="6:12" ht="15.75" customHeight="1" x14ac:dyDescent="0.2">
      <c r="F647" s="115"/>
      <c r="G647" s="115"/>
      <c r="I647" s="115"/>
      <c r="J647" s="115"/>
      <c r="K647" s="115"/>
      <c r="L647" s="115"/>
    </row>
    <row r="648" spans="6:12" ht="15.75" customHeight="1" x14ac:dyDescent="0.2">
      <c r="F648" s="115"/>
      <c r="G648" s="115"/>
      <c r="I648" s="115"/>
      <c r="J648" s="115"/>
      <c r="K648" s="115"/>
      <c r="L648" s="115"/>
    </row>
    <row r="649" spans="6:12" ht="15.75" customHeight="1" x14ac:dyDescent="0.2">
      <c r="F649" s="115"/>
      <c r="G649" s="115"/>
      <c r="I649" s="115"/>
      <c r="J649" s="115"/>
      <c r="K649" s="115"/>
      <c r="L649" s="115"/>
    </row>
    <row r="650" spans="6:12" ht="15.75" customHeight="1" x14ac:dyDescent="0.2">
      <c r="F650" s="115"/>
      <c r="G650" s="115"/>
      <c r="I650" s="115"/>
      <c r="J650" s="115"/>
      <c r="K650" s="115"/>
      <c r="L650" s="115"/>
    </row>
    <row r="651" spans="6:12" ht="15.75" customHeight="1" x14ac:dyDescent="0.2">
      <c r="F651" s="115"/>
      <c r="G651" s="115"/>
      <c r="I651" s="115"/>
      <c r="J651" s="115"/>
      <c r="K651" s="115"/>
      <c r="L651" s="115"/>
    </row>
    <row r="652" spans="6:12" ht="15.75" customHeight="1" x14ac:dyDescent="0.2">
      <c r="F652" s="115"/>
      <c r="G652" s="115"/>
      <c r="I652" s="115"/>
      <c r="J652" s="115"/>
      <c r="K652" s="115"/>
      <c r="L652" s="115"/>
    </row>
    <row r="653" spans="6:12" ht="15.75" customHeight="1" x14ac:dyDescent="0.2">
      <c r="F653" s="115"/>
      <c r="G653" s="115"/>
      <c r="I653" s="115"/>
      <c r="J653" s="115"/>
      <c r="K653" s="115"/>
      <c r="L653" s="115"/>
    </row>
    <row r="654" spans="6:12" ht="15.75" customHeight="1" x14ac:dyDescent="0.2">
      <c r="F654" s="115"/>
      <c r="G654" s="115"/>
      <c r="I654" s="115"/>
      <c r="J654" s="115"/>
      <c r="K654" s="115"/>
      <c r="L654" s="115"/>
    </row>
    <row r="655" spans="6:12" ht="15.75" customHeight="1" x14ac:dyDescent="0.2">
      <c r="F655" s="115"/>
      <c r="G655" s="115"/>
      <c r="I655" s="115"/>
      <c r="J655" s="115"/>
      <c r="K655" s="115"/>
      <c r="L655" s="115"/>
    </row>
    <row r="656" spans="6:12" ht="15.75" customHeight="1" x14ac:dyDescent="0.2">
      <c r="F656" s="115"/>
      <c r="G656" s="115"/>
      <c r="I656" s="115"/>
      <c r="J656" s="115"/>
      <c r="K656" s="115"/>
      <c r="L656" s="115"/>
    </row>
    <row r="657" spans="6:12" ht="15.75" customHeight="1" x14ac:dyDescent="0.2">
      <c r="F657" s="115"/>
      <c r="G657" s="115"/>
      <c r="I657" s="115"/>
      <c r="J657" s="115"/>
      <c r="K657" s="115"/>
      <c r="L657" s="115"/>
    </row>
    <row r="658" spans="6:12" ht="15.75" customHeight="1" x14ac:dyDescent="0.2">
      <c r="F658" s="115"/>
      <c r="G658" s="115"/>
      <c r="I658" s="115"/>
      <c r="J658" s="115"/>
      <c r="K658" s="115"/>
      <c r="L658" s="115"/>
    </row>
    <row r="659" spans="6:12" ht="15.75" customHeight="1" x14ac:dyDescent="0.2">
      <c r="F659" s="115"/>
      <c r="G659" s="115"/>
      <c r="I659" s="115"/>
      <c r="J659" s="115"/>
      <c r="K659" s="115"/>
      <c r="L659" s="115"/>
    </row>
    <row r="660" spans="6:12" ht="15.75" customHeight="1" x14ac:dyDescent="0.2">
      <c r="F660" s="115"/>
      <c r="G660" s="115"/>
      <c r="I660" s="115"/>
      <c r="J660" s="115"/>
      <c r="K660" s="115"/>
      <c r="L660" s="115"/>
    </row>
    <row r="661" spans="6:12" ht="15.75" customHeight="1" x14ac:dyDescent="0.2">
      <c r="F661" s="115"/>
      <c r="G661" s="115"/>
      <c r="I661" s="115"/>
      <c r="J661" s="115"/>
      <c r="K661" s="115"/>
      <c r="L661" s="115"/>
    </row>
    <row r="662" spans="6:12" ht="15.75" customHeight="1" x14ac:dyDescent="0.2">
      <c r="F662" s="115"/>
      <c r="G662" s="115"/>
      <c r="I662" s="115"/>
      <c r="J662" s="115"/>
      <c r="K662" s="115"/>
      <c r="L662" s="115"/>
    </row>
    <row r="663" spans="6:12" ht="15.75" customHeight="1" x14ac:dyDescent="0.2">
      <c r="F663" s="115"/>
      <c r="G663" s="115"/>
      <c r="I663" s="115"/>
      <c r="J663" s="115"/>
      <c r="K663" s="115"/>
      <c r="L663" s="115"/>
    </row>
    <row r="664" spans="6:12" ht="15.75" customHeight="1" x14ac:dyDescent="0.2">
      <c r="F664" s="115"/>
      <c r="G664" s="115"/>
      <c r="I664" s="115"/>
      <c r="J664" s="115"/>
      <c r="K664" s="115"/>
      <c r="L664" s="115"/>
    </row>
    <row r="665" spans="6:12" ht="15.75" customHeight="1" x14ac:dyDescent="0.2">
      <c r="F665" s="115"/>
      <c r="G665" s="115"/>
      <c r="I665" s="115"/>
      <c r="J665" s="115"/>
      <c r="K665" s="115"/>
      <c r="L665" s="115"/>
    </row>
    <row r="666" spans="6:12" ht="15.75" customHeight="1" x14ac:dyDescent="0.2">
      <c r="F666" s="115"/>
      <c r="G666" s="115"/>
      <c r="I666" s="115"/>
      <c r="J666" s="115"/>
      <c r="K666" s="115"/>
      <c r="L666" s="115"/>
    </row>
    <row r="667" spans="6:12" ht="15.75" customHeight="1" x14ac:dyDescent="0.2">
      <c r="F667" s="115"/>
      <c r="G667" s="115"/>
      <c r="I667" s="115"/>
      <c r="J667" s="115"/>
      <c r="K667" s="115"/>
      <c r="L667" s="115"/>
    </row>
    <row r="668" spans="6:12" ht="15.75" customHeight="1" x14ac:dyDescent="0.2">
      <c r="F668" s="115"/>
      <c r="G668" s="115"/>
      <c r="I668" s="115"/>
      <c r="J668" s="115"/>
      <c r="K668" s="115"/>
      <c r="L668" s="115"/>
    </row>
    <row r="669" spans="6:12" ht="15.75" customHeight="1" x14ac:dyDescent="0.2">
      <c r="F669" s="115"/>
      <c r="G669" s="115"/>
      <c r="I669" s="115"/>
      <c r="J669" s="115"/>
      <c r="K669" s="115"/>
      <c r="L669" s="115"/>
    </row>
    <row r="670" spans="6:12" ht="15.75" customHeight="1" x14ac:dyDescent="0.2">
      <c r="F670" s="115"/>
      <c r="G670" s="115"/>
      <c r="I670" s="115"/>
      <c r="J670" s="115"/>
      <c r="K670" s="115"/>
      <c r="L670" s="115"/>
    </row>
    <row r="671" spans="6:12" ht="15.75" customHeight="1" x14ac:dyDescent="0.2">
      <c r="F671" s="115"/>
      <c r="G671" s="115"/>
      <c r="I671" s="115"/>
      <c r="J671" s="115"/>
      <c r="K671" s="115"/>
      <c r="L671" s="115"/>
    </row>
    <row r="672" spans="6:12" ht="15.75" customHeight="1" x14ac:dyDescent="0.2">
      <c r="F672" s="115"/>
      <c r="G672" s="115"/>
      <c r="I672" s="115"/>
      <c r="J672" s="115"/>
      <c r="K672" s="115"/>
      <c r="L672" s="115"/>
    </row>
    <row r="673" spans="6:12" ht="15.75" customHeight="1" x14ac:dyDescent="0.2">
      <c r="F673" s="115"/>
      <c r="G673" s="115"/>
      <c r="I673" s="115"/>
      <c r="J673" s="115"/>
      <c r="K673" s="115"/>
      <c r="L673" s="115"/>
    </row>
    <row r="674" spans="6:12" ht="15.75" customHeight="1" x14ac:dyDescent="0.2">
      <c r="F674" s="115"/>
      <c r="G674" s="115"/>
      <c r="I674" s="115"/>
      <c r="J674" s="115"/>
      <c r="K674" s="115"/>
      <c r="L674" s="115"/>
    </row>
    <row r="675" spans="6:12" ht="15.75" customHeight="1" x14ac:dyDescent="0.2">
      <c r="F675" s="115"/>
      <c r="G675" s="115"/>
      <c r="I675" s="115"/>
      <c r="J675" s="115"/>
      <c r="K675" s="115"/>
      <c r="L675" s="115"/>
    </row>
    <row r="676" spans="6:12" ht="15.75" customHeight="1" x14ac:dyDescent="0.2">
      <c r="F676" s="115"/>
      <c r="G676" s="115"/>
      <c r="I676" s="115"/>
      <c r="J676" s="115"/>
      <c r="K676" s="115"/>
      <c r="L676" s="115"/>
    </row>
    <row r="677" spans="6:12" ht="15.75" customHeight="1" x14ac:dyDescent="0.2">
      <c r="F677" s="115"/>
      <c r="G677" s="115"/>
      <c r="I677" s="115"/>
      <c r="J677" s="115"/>
      <c r="K677" s="115"/>
      <c r="L677" s="115"/>
    </row>
    <row r="678" spans="6:12" ht="15.75" customHeight="1" x14ac:dyDescent="0.2">
      <c r="F678" s="115"/>
      <c r="G678" s="115"/>
      <c r="I678" s="115"/>
      <c r="J678" s="115"/>
      <c r="K678" s="115"/>
      <c r="L678" s="115"/>
    </row>
    <row r="679" spans="6:12" ht="15.75" customHeight="1" x14ac:dyDescent="0.2">
      <c r="F679" s="115"/>
      <c r="G679" s="115"/>
      <c r="I679" s="115"/>
      <c r="J679" s="115"/>
      <c r="K679" s="115"/>
      <c r="L679" s="115"/>
    </row>
    <row r="680" spans="6:12" ht="15.75" customHeight="1" x14ac:dyDescent="0.2">
      <c r="F680" s="115"/>
      <c r="G680" s="115"/>
      <c r="I680" s="115"/>
      <c r="J680" s="115"/>
      <c r="K680" s="115"/>
      <c r="L680" s="115"/>
    </row>
    <row r="681" spans="6:12" ht="15.75" customHeight="1" x14ac:dyDescent="0.2">
      <c r="F681" s="115"/>
      <c r="G681" s="115"/>
      <c r="I681" s="115"/>
      <c r="J681" s="115"/>
      <c r="K681" s="115"/>
      <c r="L681" s="115"/>
    </row>
    <row r="682" spans="6:12" ht="15.75" customHeight="1" x14ac:dyDescent="0.2">
      <c r="F682" s="115"/>
      <c r="G682" s="115"/>
      <c r="I682" s="115"/>
      <c r="J682" s="115"/>
      <c r="K682" s="115"/>
      <c r="L682" s="115"/>
    </row>
    <row r="683" spans="6:12" ht="15.75" customHeight="1" x14ac:dyDescent="0.2">
      <c r="F683" s="115"/>
      <c r="G683" s="115"/>
      <c r="I683" s="115"/>
      <c r="J683" s="115"/>
      <c r="K683" s="115"/>
      <c r="L683" s="115"/>
    </row>
    <row r="684" spans="6:12" ht="15.75" customHeight="1" x14ac:dyDescent="0.2">
      <c r="F684" s="115"/>
      <c r="G684" s="115"/>
      <c r="I684" s="115"/>
      <c r="J684" s="115"/>
      <c r="K684" s="115"/>
      <c r="L684" s="115"/>
    </row>
    <row r="685" spans="6:12" ht="15.75" customHeight="1" x14ac:dyDescent="0.2">
      <c r="F685" s="115"/>
      <c r="G685" s="115"/>
      <c r="I685" s="115"/>
      <c r="J685" s="115"/>
      <c r="K685" s="115"/>
      <c r="L685" s="115"/>
    </row>
    <row r="686" spans="6:12" ht="15.75" customHeight="1" x14ac:dyDescent="0.2">
      <c r="F686" s="115"/>
      <c r="G686" s="115"/>
      <c r="I686" s="115"/>
      <c r="J686" s="115"/>
      <c r="K686" s="115"/>
      <c r="L686" s="115"/>
    </row>
    <row r="687" spans="6:12" ht="15.75" customHeight="1" x14ac:dyDescent="0.2">
      <c r="F687" s="115"/>
      <c r="G687" s="115"/>
      <c r="I687" s="115"/>
      <c r="J687" s="115"/>
      <c r="K687" s="115"/>
      <c r="L687" s="115"/>
    </row>
    <row r="688" spans="6:12" ht="15.75" customHeight="1" x14ac:dyDescent="0.2">
      <c r="F688" s="115"/>
      <c r="G688" s="115"/>
      <c r="I688" s="115"/>
      <c r="J688" s="115"/>
      <c r="K688" s="115"/>
      <c r="L688" s="115"/>
    </row>
    <row r="689" spans="6:12" ht="15.75" customHeight="1" x14ac:dyDescent="0.2">
      <c r="F689" s="115"/>
      <c r="G689" s="115"/>
      <c r="I689" s="115"/>
      <c r="J689" s="115"/>
      <c r="K689" s="115"/>
      <c r="L689" s="115"/>
    </row>
    <row r="690" spans="6:12" ht="15.75" customHeight="1" x14ac:dyDescent="0.2">
      <c r="F690" s="115"/>
      <c r="G690" s="115"/>
      <c r="I690" s="115"/>
      <c r="J690" s="115"/>
      <c r="K690" s="115"/>
      <c r="L690" s="115"/>
    </row>
    <row r="691" spans="6:12" ht="15.75" customHeight="1" x14ac:dyDescent="0.2">
      <c r="F691" s="115"/>
      <c r="G691" s="115"/>
      <c r="I691" s="115"/>
      <c r="J691" s="115"/>
      <c r="K691" s="115"/>
      <c r="L691" s="115"/>
    </row>
    <row r="692" spans="6:12" ht="15.75" customHeight="1" x14ac:dyDescent="0.2">
      <c r="F692" s="115"/>
      <c r="G692" s="115"/>
      <c r="I692" s="115"/>
      <c r="J692" s="115"/>
      <c r="K692" s="115"/>
      <c r="L692" s="115"/>
    </row>
    <row r="693" spans="6:12" ht="15.75" customHeight="1" x14ac:dyDescent="0.2">
      <c r="F693" s="115"/>
      <c r="G693" s="115"/>
      <c r="I693" s="115"/>
      <c r="J693" s="115"/>
      <c r="K693" s="115"/>
      <c r="L693" s="115"/>
    </row>
    <row r="694" spans="6:12" ht="15.75" customHeight="1" x14ac:dyDescent="0.2">
      <c r="F694" s="115"/>
      <c r="G694" s="115"/>
      <c r="I694" s="115"/>
      <c r="J694" s="115"/>
      <c r="K694" s="115"/>
      <c r="L694" s="115"/>
    </row>
    <row r="695" spans="6:12" ht="15.75" customHeight="1" x14ac:dyDescent="0.2">
      <c r="F695" s="115"/>
      <c r="G695" s="115"/>
      <c r="I695" s="115"/>
      <c r="J695" s="115"/>
      <c r="K695" s="115"/>
      <c r="L695" s="115"/>
    </row>
    <row r="696" spans="6:12" ht="15.75" customHeight="1" x14ac:dyDescent="0.2">
      <c r="F696" s="115"/>
      <c r="G696" s="115"/>
      <c r="I696" s="115"/>
      <c r="J696" s="115"/>
      <c r="K696" s="115"/>
      <c r="L696" s="115"/>
    </row>
    <row r="697" spans="6:12" ht="15.75" customHeight="1" x14ac:dyDescent="0.2">
      <c r="F697" s="115"/>
      <c r="G697" s="115"/>
      <c r="I697" s="115"/>
      <c r="J697" s="115"/>
      <c r="K697" s="115"/>
      <c r="L697" s="115"/>
    </row>
    <row r="698" spans="6:12" ht="15.75" customHeight="1" x14ac:dyDescent="0.2">
      <c r="F698" s="115"/>
      <c r="G698" s="115"/>
      <c r="I698" s="115"/>
      <c r="J698" s="115"/>
      <c r="K698" s="115"/>
      <c r="L698" s="115"/>
    </row>
    <row r="699" spans="6:12" ht="15.75" customHeight="1" x14ac:dyDescent="0.2">
      <c r="F699" s="115"/>
      <c r="G699" s="115"/>
      <c r="I699" s="115"/>
      <c r="J699" s="115"/>
      <c r="K699" s="115"/>
      <c r="L699" s="115"/>
    </row>
    <row r="700" spans="6:12" ht="15.75" customHeight="1" x14ac:dyDescent="0.2">
      <c r="F700" s="115"/>
      <c r="G700" s="115"/>
      <c r="I700" s="115"/>
      <c r="J700" s="115"/>
      <c r="K700" s="115"/>
      <c r="L700" s="115"/>
    </row>
    <row r="701" spans="6:12" ht="15.75" customHeight="1" x14ac:dyDescent="0.2">
      <c r="F701" s="115"/>
      <c r="G701" s="115"/>
      <c r="I701" s="115"/>
      <c r="J701" s="115"/>
      <c r="K701" s="115"/>
      <c r="L701" s="115"/>
    </row>
    <row r="702" spans="6:12" ht="15.75" customHeight="1" x14ac:dyDescent="0.2">
      <c r="F702" s="115"/>
      <c r="G702" s="115"/>
      <c r="I702" s="115"/>
      <c r="J702" s="115"/>
      <c r="K702" s="115"/>
      <c r="L702" s="115"/>
    </row>
    <row r="703" spans="6:12" ht="15.75" customHeight="1" x14ac:dyDescent="0.2">
      <c r="F703" s="115"/>
      <c r="G703" s="115"/>
      <c r="I703" s="115"/>
      <c r="J703" s="115"/>
      <c r="K703" s="115"/>
      <c r="L703" s="115"/>
    </row>
    <row r="704" spans="6:12" ht="15.75" customHeight="1" x14ac:dyDescent="0.2">
      <c r="F704" s="115"/>
      <c r="G704" s="115"/>
      <c r="I704" s="115"/>
      <c r="J704" s="115"/>
      <c r="K704" s="115"/>
      <c r="L704" s="115"/>
    </row>
    <row r="705" spans="6:12" ht="15.75" customHeight="1" x14ac:dyDescent="0.2">
      <c r="F705" s="115"/>
      <c r="G705" s="115"/>
      <c r="I705" s="115"/>
      <c r="J705" s="115"/>
      <c r="K705" s="115"/>
      <c r="L705" s="115"/>
    </row>
    <row r="706" spans="6:12" ht="15.75" customHeight="1" x14ac:dyDescent="0.2">
      <c r="F706" s="115"/>
      <c r="G706" s="115"/>
      <c r="I706" s="115"/>
      <c r="J706" s="115"/>
      <c r="K706" s="115"/>
      <c r="L706" s="115"/>
    </row>
    <row r="707" spans="6:12" ht="15.75" customHeight="1" x14ac:dyDescent="0.2">
      <c r="F707" s="115"/>
      <c r="G707" s="115"/>
      <c r="I707" s="115"/>
      <c r="J707" s="115"/>
      <c r="K707" s="115"/>
      <c r="L707" s="115"/>
    </row>
    <row r="708" spans="6:12" ht="15.75" customHeight="1" x14ac:dyDescent="0.2">
      <c r="F708" s="115"/>
      <c r="G708" s="115"/>
      <c r="I708" s="115"/>
      <c r="J708" s="115"/>
      <c r="K708" s="115"/>
      <c r="L708" s="115"/>
    </row>
    <row r="709" spans="6:12" ht="15.75" customHeight="1" x14ac:dyDescent="0.2">
      <c r="F709" s="115"/>
      <c r="G709" s="115"/>
      <c r="I709" s="115"/>
      <c r="J709" s="115"/>
      <c r="K709" s="115"/>
      <c r="L709" s="115"/>
    </row>
    <row r="710" spans="6:12" ht="15.75" customHeight="1" x14ac:dyDescent="0.2">
      <c r="F710" s="115"/>
      <c r="G710" s="115"/>
      <c r="I710" s="115"/>
      <c r="J710" s="115"/>
      <c r="K710" s="115"/>
      <c r="L710" s="115"/>
    </row>
    <row r="711" spans="6:12" ht="15.75" customHeight="1" x14ac:dyDescent="0.2">
      <c r="F711" s="115"/>
      <c r="G711" s="115"/>
      <c r="I711" s="115"/>
      <c r="J711" s="115"/>
      <c r="K711" s="115"/>
      <c r="L711" s="115"/>
    </row>
    <row r="712" spans="6:12" ht="15.75" customHeight="1" x14ac:dyDescent="0.2">
      <c r="F712" s="115"/>
      <c r="G712" s="115"/>
      <c r="I712" s="115"/>
      <c r="J712" s="115"/>
      <c r="K712" s="115"/>
      <c r="L712" s="115"/>
    </row>
    <row r="713" spans="6:12" ht="15.75" customHeight="1" x14ac:dyDescent="0.2">
      <c r="F713" s="115"/>
      <c r="G713" s="115"/>
      <c r="I713" s="115"/>
      <c r="J713" s="115"/>
      <c r="K713" s="115"/>
      <c r="L713" s="115"/>
    </row>
    <row r="714" spans="6:12" ht="15.75" customHeight="1" x14ac:dyDescent="0.2">
      <c r="F714" s="115"/>
      <c r="G714" s="115"/>
      <c r="I714" s="115"/>
      <c r="J714" s="115"/>
      <c r="K714" s="115"/>
      <c r="L714" s="115"/>
    </row>
    <row r="715" spans="6:12" ht="15.75" customHeight="1" x14ac:dyDescent="0.2">
      <c r="F715" s="115"/>
      <c r="G715" s="115"/>
      <c r="I715" s="115"/>
      <c r="J715" s="115"/>
      <c r="K715" s="115"/>
      <c r="L715" s="115"/>
    </row>
    <row r="716" spans="6:12" ht="15.75" customHeight="1" x14ac:dyDescent="0.2">
      <c r="F716" s="115"/>
      <c r="G716" s="115"/>
      <c r="I716" s="115"/>
      <c r="J716" s="115"/>
      <c r="K716" s="115"/>
      <c r="L716" s="115"/>
    </row>
    <row r="717" spans="6:12" ht="15.75" customHeight="1" x14ac:dyDescent="0.2">
      <c r="F717" s="115"/>
      <c r="G717" s="115"/>
      <c r="I717" s="115"/>
      <c r="J717" s="115"/>
      <c r="K717" s="115"/>
      <c r="L717" s="115"/>
    </row>
    <row r="718" spans="6:12" ht="15.75" customHeight="1" x14ac:dyDescent="0.2">
      <c r="F718" s="115"/>
      <c r="G718" s="115"/>
      <c r="I718" s="115"/>
      <c r="J718" s="115"/>
      <c r="K718" s="115"/>
      <c r="L718" s="115"/>
    </row>
    <row r="719" spans="6:12" ht="15.75" customHeight="1" x14ac:dyDescent="0.2">
      <c r="F719" s="115"/>
      <c r="G719" s="115"/>
      <c r="I719" s="115"/>
      <c r="J719" s="115"/>
      <c r="K719" s="115"/>
      <c r="L719" s="115"/>
    </row>
    <row r="720" spans="6:12" ht="15.75" customHeight="1" x14ac:dyDescent="0.2">
      <c r="F720" s="115"/>
      <c r="G720" s="115"/>
      <c r="I720" s="115"/>
      <c r="J720" s="115"/>
      <c r="K720" s="115"/>
      <c r="L720" s="115"/>
    </row>
    <row r="721" spans="6:12" ht="15.75" customHeight="1" x14ac:dyDescent="0.2">
      <c r="F721" s="115"/>
      <c r="G721" s="115"/>
      <c r="I721" s="115"/>
      <c r="J721" s="115"/>
      <c r="K721" s="115"/>
      <c r="L721" s="115"/>
    </row>
    <row r="722" spans="6:12" ht="15.75" customHeight="1" x14ac:dyDescent="0.2">
      <c r="F722" s="115"/>
      <c r="G722" s="115"/>
      <c r="I722" s="115"/>
      <c r="J722" s="115"/>
      <c r="K722" s="115"/>
      <c r="L722" s="115"/>
    </row>
    <row r="723" spans="6:12" ht="15.75" customHeight="1" x14ac:dyDescent="0.2">
      <c r="F723" s="115"/>
      <c r="G723" s="115"/>
      <c r="I723" s="115"/>
      <c r="J723" s="115"/>
      <c r="K723" s="115"/>
      <c r="L723" s="115"/>
    </row>
    <row r="724" spans="6:12" ht="15.75" customHeight="1" x14ac:dyDescent="0.2">
      <c r="F724" s="115"/>
      <c r="G724" s="115"/>
      <c r="I724" s="115"/>
      <c r="J724" s="115"/>
      <c r="K724" s="115"/>
      <c r="L724" s="115"/>
    </row>
    <row r="725" spans="6:12" ht="15.75" customHeight="1" x14ac:dyDescent="0.2">
      <c r="F725" s="115"/>
      <c r="G725" s="115"/>
      <c r="I725" s="115"/>
      <c r="J725" s="115"/>
      <c r="K725" s="115"/>
      <c r="L725" s="115"/>
    </row>
    <row r="726" spans="6:12" ht="15.75" customHeight="1" x14ac:dyDescent="0.2">
      <c r="F726" s="115"/>
      <c r="G726" s="115"/>
      <c r="I726" s="115"/>
      <c r="J726" s="115"/>
      <c r="K726" s="115"/>
      <c r="L726" s="115"/>
    </row>
    <row r="727" spans="6:12" ht="15.75" customHeight="1" x14ac:dyDescent="0.2">
      <c r="F727" s="115"/>
      <c r="G727" s="115"/>
      <c r="I727" s="115"/>
      <c r="J727" s="115"/>
      <c r="K727" s="115"/>
      <c r="L727" s="115"/>
    </row>
    <row r="728" spans="6:12" ht="15.75" customHeight="1" x14ac:dyDescent="0.2">
      <c r="F728" s="115"/>
      <c r="G728" s="115"/>
      <c r="I728" s="115"/>
      <c r="J728" s="115"/>
      <c r="K728" s="115"/>
      <c r="L728" s="115"/>
    </row>
    <row r="729" spans="6:12" ht="15.75" customHeight="1" x14ac:dyDescent="0.2">
      <c r="F729" s="115"/>
      <c r="G729" s="115"/>
      <c r="I729" s="115"/>
      <c r="J729" s="115"/>
      <c r="K729" s="115"/>
      <c r="L729" s="115"/>
    </row>
    <row r="730" spans="6:12" ht="15.75" customHeight="1" x14ac:dyDescent="0.2">
      <c r="F730" s="115"/>
      <c r="G730" s="115"/>
      <c r="I730" s="115"/>
      <c r="J730" s="115"/>
      <c r="K730" s="115"/>
      <c r="L730" s="115"/>
    </row>
    <row r="731" spans="6:12" ht="15.75" customHeight="1" x14ac:dyDescent="0.2">
      <c r="F731" s="115"/>
      <c r="G731" s="115"/>
      <c r="I731" s="115"/>
      <c r="J731" s="115"/>
      <c r="K731" s="115"/>
      <c r="L731" s="115"/>
    </row>
    <row r="732" spans="6:12" ht="15.75" customHeight="1" x14ac:dyDescent="0.2">
      <c r="F732" s="115"/>
      <c r="G732" s="115"/>
      <c r="I732" s="115"/>
      <c r="J732" s="115"/>
      <c r="K732" s="115"/>
      <c r="L732" s="115"/>
    </row>
    <row r="733" spans="6:12" ht="15.75" customHeight="1" x14ac:dyDescent="0.2">
      <c r="F733" s="115"/>
      <c r="G733" s="115"/>
      <c r="I733" s="115"/>
      <c r="J733" s="115"/>
      <c r="K733" s="115"/>
      <c r="L733" s="115"/>
    </row>
    <row r="734" spans="6:12" ht="15.75" customHeight="1" x14ac:dyDescent="0.2">
      <c r="F734" s="115"/>
      <c r="G734" s="115"/>
      <c r="I734" s="115"/>
      <c r="J734" s="115"/>
      <c r="K734" s="115"/>
      <c r="L734" s="115"/>
    </row>
    <row r="735" spans="6:12" ht="15.75" customHeight="1" x14ac:dyDescent="0.2">
      <c r="F735" s="115"/>
      <c r="G735" s="115"/>
      <c r="I735" s="115"/>
      <c r="J735" s="115"/>
      <c r="K735" s="115"/>
      <c r="L735" s="115"/>
    </row>
    <row r="736" spans="6:12" ht="15.75" customHeight="1" x14ac:dyDescent="0.2">
      <c r="F736" s="115"/>
      <c r="G736" s="115"/>
      <c r="I736" s="115"/>
      <c r="J736" s="115"/>
      <c r="K736" s="115"/>
      <c r="L736" s="115"/>
    </row>
    <row r="737" spans="6:12" ht="15.75" customHeight="1" x14ac:dyDescent="0.2">
      <c r="F737" s="115"/>
      <c r="G737" s="115"/>
      <c r="I737" s="115"/>
      <c r="J737" s="115"/>
      <c r="K737" s="115"/>
      <c r="L737" s="115"/>
    </row>
    <row r="738" spans="6:12" ht="15.75" customHeight="1" x14ac:dyDescent="0.2">
      <c r="F738" s="115"/>
      <c r="G738" s="115"/>
      <c r="I738" s="115"/>
      <c r="J738" s="115"/>
      <c r="K738" s="115"/>
      <c r="L738" s="115"/>
    </row>
    <row r="739" spans="6:12" ht="15.75" customHeight="1" x14ac:dyDescent="0.2">
      <c r="F739" s="115"/>
      <c r="G739" s="115"/>
      <c r="I739" s="115"/>
      <c r="J739" s="115"/>
      <c r="K739" s="115"/>
      <c r="L739" s="115"/>
    </row>
    <row r="740" spans="6:12" ht="15.75" customHeight="1" x14ac:dyDescent="0.2">
      <c r="F740" s="115"/>
      <c r="G740" s="115"/>
      <c r="I740" s="115"/>
      <c r="J740" s="115"/>
      <c r="K740" s="115"/>
      <c r="L740" s="115"/>
    </row>
    <row r="741" spans="6:12" ht="15.75" customHeight="1" x14ac:dyDescent="0.2">
      <c r="F741" s="115"/>
      <c r="G741" s="115"/>
      <c r="I741" s="115"/>
      <c r="J741" s="115"/>
      <c r="K741" s="115"/>
      <c r="L741" s="115"/>
    </row>
    <row r="742" spans="6:12" ht="15.75" customHeight="1" x14ac:dyDescent="0.2">
      <c r="F742" s="115"/>
      <c r="G742" s="115"/>
      <c r="I742" s="115"/>
      <c r="J742" s="115"/>
      <c r="K742" s="115"/>
      <c r="L742" s="115"/>
    </row>
    <row r="743" spans="6:12" ht="15.75" customHeight="1" x14ac:dyDescent="0.2">
      <c r="F743" s="115"/>
      <c r="G743" s="115"/>
      <c r="I743" s="115"/>
      <c r="J743" s="115"/>
      <c r="K743" s="115"/>
      <c r="L743" s="115"/>
    </row>
    <row r="744" spans="6:12" ht="15.75" customHeight="1" x14ac:dyDescent="0.2">
      <c r="F744" s="115"/>
      <c r="G744" s="115"/>
      <c r="I744" s="115"/>
      <c r="J744" s="115"/>
      <c r="K744" s="115"/>
      <c r="L744" s="115"/>
    </row>
    <row r="745" spans="6:12" ht="15.75" customHeight="1" x14ac:dyDescent="0.2">
      <c r="F745" s="115"/>
      <c r="G745" s="115"/>
      <c r="I745" s="115"/>
      <c r="J745" s="115"/>
      <c r="K745" s="115"/>
      <c r="L745" s="115"/>
    </row>
    <row r="746" spans="6:12" ht="15.75" customHeight="1" x14ac:dyDescent="0.2">
      <c r="F746" s="115"/>
      <c r="G746" s="115"/>
      <c r="I746" s="115"/>
      <c r="J746" s="115"/>
      <c r="K746" s="115"/>
      <c r="L746" s="115"/>
    </row>
    <row r="747" spans="6:12" ht="15.75" customHeight="1" x14ac:dyDescent="0.2">
      <c r="F747" s="115"/>
      <c r="G747" s="115"/>
      <c r="I747" s="115"/>
      <c r="J747" s="115"/>
      <c r="K747" s="115"/>
      <c r="L747" s="115"/>
    </row>
    <row r="748" spans="6:12" ht="15.75" customHeight="1" x14ac:dyDescent="0.2">
      <c r="F748" s="115"/>
      <c r="G748" s="115"/>
      <c r="I748" s="115"/>
      <c r="J748" s="115"/>
      <c r="K748" s="115"/>
      <c r="L748" s="115"/>
    </row>
    <row r="749" spans="6:12" ht="15.75" customHeight="1" x14ac:dyDescent="0.2">
      <c r="F749" s="115"/>
      <c r="G749" s="115"/>
      <c r="I749" s="115"/>
      <c r="J749" s="115"/>
      <c r="K749" s="115"/>
      <c r="L749" s="115"/>
    </row>
    <row r="750" spans="6:12" ht="15.75" customHeight="1" x14ac:dyDescent="0.2">
      <c r="F750" s="115"/>
      <c r="G750" s="115"/>
      <c r="I750" s="115"/>
      <c r="J750" s="115"/>
      <c r="K750" s="115"/>
      <c r="L750" s="115"/>
    </row>
    <row r="751" spans="6:12" ht="15.75" customHeight="1" x14ac:dyDescent="0.2">
      <c r="F751" s="115"/>
      <c r="G751" s="115"/>
      <c r="I751" s="115"/>
      <c r="J751" s="115"/>
      <c r="K751" s="115"/>
      <c r="L751" s="115"/>
    </row>
    <row r="752" spans="6:12" ht="15.75" customHeight="1" x14ac:dyDescent="0.2">
      <c r="F752" s="115"/>
      <c r="G752" s="115"/>
      <c r="I752" s="115"/>
      <c r="J752" s="115"/>
      <c r="K752" s="115"/>
      <c r="L752" s="115"/>
    </row>
    <row r="753" spans="6:12" ht="15.75" customHeight="1" x14ac:dyDescent="0.2">
      <c r="F753" s="115"/>
      <c r="G753" s="115"/>
      <c r="I753" s="115"/>
      <c r="J753" s="115"/>
      <c r="K753" s="115"/>
      <c r="L753" s="115"/>
    </row>
    <row r="754" spans="6:12" ht="15.75" customHeight="1" x14ac:dyDescent="0.2">
      <c r="F754" s="115"/>
      <c r="G754" s="115"/>
      <c r="I754" s="115"/>
      <c r="J754" s="115"/>
      <c r="K754" s="115"/>
      <c r="L754" s="115"/>
    </row>
    <row r="755" spans="6:12" ht="15.75" customHeight="1" x14ac:dyDescent="0.2">
      <c r="F755" s="115"/>
      <c r="G755" s="115"/>
      <c r="I755" s="115"/>
      <c r="J755" s="115"/>
      <c r="K755" s="115"/>
      <c r="L755" s="115"/>
    </row>
    <row r="756" spans="6:12" ht="15.75" customHeight="1" x14ac:dyDescent="0.2">
      <c r="F756" s="115"/>
      <c r="G756" s="115"/>
      <c r="I756" s="115"/>
      <c r="J756" s="115"/>
      <c r="K756" s="115"/>
      <c r="L756" s="115"/>
    </row>
    <row r="757" spans="6:12" ht="15.75" customHeight="1" x14ac:dyDescent="0.2">
      <c r="F757" s="115"/>
      <c r="G757" s="115"/>
      <c r="I757" s="115"/>
      <c r="J757" s="115"/>
      <c r="K757" s="115"/>
      <c r="L757" s="115"/>
    </row>
    <row r="758" spans="6:12" ht="15.75" customHeight="1" x14ac:dyDescent="0.2">
      <c r="F758" s="115"/>
      <c r="G758" s="115"/>
      <c r="I758" s="115"/>
      <c r="J758" s="115"/>
      <c r="K758" s="115"/>
      <c r="L758" s="115"/>
    </row>
    <row r="759" spans="6:12" ht="15.75" customHeight="1" x14ac:dyDescent="0.2">
      <c r="F759" s="115"/>
      <c r="G759" s="115"/>
      <c r="I759" s="115"/>
      <c r="J759" s="115"/>
      <c r="K759" s="115"/>
      <c r="L759" s="115"/>
    </row>
    <row r="760" spans="6:12" ht="15.75" customHeight="1" x14ac:dyDescent="0.2">
      <c r="F760" s="115"/>
      <c r="G760" s="115"/>
      <c r="I760" s="115"/>
      <c r="J760" s="115"/>
      <c r="K760" s="115"/>
      <c r="L760" s="115"/>
    </row>
    <row r="761" spans="6:12" ht="15.75" customHeight="1" x14ac:dyDescent="0.2">
      <c r="F761" s="115"/>
      <c r="G761" s="115"/>
      <c r="I761" s="115"/>
      <c r="J761" s="115"/>
      <c r="K761" s="115"/>
      <c r="L761" s="115"/>
    </row>
    <row r="762" spans="6:12" ht="15.75" customHeight="1" x14ac:dyDescent="0.2">
      <c r="F762" s="115"/>
      <c r="G762" s="115"/>
      <c r="I762" s="115"/>
      <c r="J762" s="115"/>
      <c r="K762" s="115"/>
      <c r="L762" s="115"/>
    </row>
    <row r="763" spans="6:12" ht="15.75" customHeight="1" x14ac:dyDescent="0.2">
      <c r="F763" s="115"/>
      <c r="G763" s="115"/>
      <c r="I763" s="115"/>
      <c r="J763" s="115"/>
      <c r="K763" s="115"/>
      <c r="L763" s="115"/>
    </row>
    <row r="764" spans="6:12" ht="15.75" customHeight="1" x14ac:dyDescent="0.2">
      <c r="F764" s="115"/>
      <c r="G764" s="115"/>
      <c r="I764" s="115"/>
      <c r="J764" s="115"/>
      <c r="K764" s="115"/>
      <c r="L764" s="115"/>
    </row>
    <row r="765" spans="6:12" ht="15.75" customHeight="1" x14ac:dyDescent="0.2">
      <c r="F765" s="115"/>
      <c r="G765" s="115"/>
      <c r="I765" s="115"/>
      <c r="J765" s="115"/>
      <c r="K765" s="115"/>
      <c r="L765" s="115"/>
    </row>
    <row r="766" spans="6:12" ht="15.75" customHeight="1" x14ac:dyDescent="0.2">
      <c r="F766" s="115"/>
      <c r="G766" s="115"/>
      <c r="I766" s="115"/>
      <c r="J766" s="115"/>
      <c r="K766" s="115"/>
      <c r="L766" s="115"/>
    </row>
    <row r="767" spans="6:12" ht="15.75" customHeight="1" x14ac:dyDescent="0.2">
      <c r="F767" s="115"/>
      <c r="G767" s="115"/>
      <c r="I767" s="115"/>
      <c r="J767" s="115"/>
      <c r="K767" s="115"/>
      <c r="L767" s="115"/>
    </row>
    <row r="768" spans="6:12" ht="15.75" customHeight="1" x14ac:dyDescent="0.2">
      <c r="F768" s="115"/>
      <c r="G768" s="115"/>
      <c r="I768" s="115"/>
      <c r="J768" s="115"/>
      <c r="K768" s="115"/>
      <c r="L768" s="115"/>
    </row>
    <row r="769" spans="6:12" ht="15.75" customHeight="1" x14ac:dyDescent="0.2">
      <c r="F769" s="115"/>
      <c r="G769" s="115"/>
      <c r="I769" s="115"/>
      <c r="J769" s="115"/>
      <c r="K769" s="115"/>
      <c r="L769" s="115"/>
    </row>
    <row r="770" spans="6:12" ht="15.75" customHeight="1" x14ac:dyDescent="0.2">
      <c r="F770" s="115"/>
      <c r="G770" s="115"/>
      <c r="I770" s="115"/>
      <c r="J770" s="115"/>
      <c r="K770" s="115"/>
      <c r="L770" s="115"/>
    </row>
    <row r="771" spans="6:12" ht="15.75" customHeight="1" x14ac:dyDescent="0.2">
      <c r="F771" s="115"/>
      <c r="G771" s="115"/>
      <c r="I771" s="115"/>
      <c r="J771" s="115"/>
      <c r="K771" s="115"/>
      <c r="L771" s="115"/>
    </row>
    <row r="772" spans="6:12" ht="15.75" customHeight="1" x14ac:dyDescent="0.2">
      <c r="F772" s="115"/>
      <c r="G772" s="115"/>
      <c r="I772" s="115"/>
      <c r="J772" s="115"/>
      <c r="K772" s="115"/>
      <c r="L772" s="115"/>
    </row>
    <row r="773" spans="6:12" ht="15.75" customHeight="1" x14ac:dyDescent="0.2">
      <c r="F773" s="115"/>
      <c r="G773" s="115"/>
      <c r="I773" s="115"/>
      <c r="J773" s="115"/>
      <c r="K773" s="115"/>
      <c r="L773" s="115"/>
    </row>
    <row r="774" spans="6:12" ht="15.75" customHeight="1" x14ac:dyDescent="0.2">
      <c r="F774" s="115"/>
      <c r="G774" s="115"/>
      <c r="I774" s="115"/>
      <c r="J774" s="115"/>
      <c r="K774" s="115"/>
      <c r="L774" s="115"/>
    </row>
    <row r="775" spans="6:12" ht="15.75" customHeight="1" x14ac:dyDescent="0.2">
      <c r="F775" s="115"/>
      <c r="G775" s="115"/>
      <c r="I775" s="115"/>
      <c r="J775" s="115"/>
      <c r="K775" s="115"/>
      <c r="L775" s="115"/>
    </row>
    <row r="776" spans="6:12" ht="15.75" customHeight="1" x14ac:dyDescent="0.2">
      <c r="F776" s="115"/>
      <c r="G776" s="115"/>
      <c r="I776" s="115"/>
      <c r="J776" s="115"/>
      <c r="K776" s="115"/>
      <c r="L776" s="115"/>
    </row>
    <row r="777" spans="6:12" ht="15.75" customHeight="1" x14ac:dyDescent="0.2">
      <c r="F777" s="115"/>
      <c r="G777" s="115"/>
      <c r="I777" s="115"/>
      <c r="J777" s="115"/>
      <c r="K777" s="115"/>
      <c r="L777" s="115"/>
    </row>
    <row r="778" spans="6:12" ht="15.75" customHeight="1" x14ac:dyDescent="0.2">
      <c r="F778" s="115"/>
      <c r="G778" s="115"/>
      <c r="I778" s="115"/>
      <c r="J778" s="115"/>
      <c r="K778" s="115"/>
      <c r="L778" s="115"/>
    </row>
    <row r="779" spans="6:12" ht="15.75" customHeight="1" x14ac:dyDescent="0.2">
      <c r="F779" s="115"/>
      <c r="G779" s="115"/>
      <c r="I779" s="115"/>
      <c r="J779" s="115"/>
      <c r="K779" s="115"/>
      <c r="L779" s="115"/>
    </row>
    <row r="780" spans="6:12" ht="15.75" customHeight="1" x14ac:dyDescent="0.2">
      <c r="F780" s="115"/>
      <c r="G780" s="115"/>
      <c r="I780" s="115"/>
      <c r="J780" s="115"/>
      <c r="K780" s="115"/>
      <c r="L780" s="115"/>
    </row>
    <row r="781" spans="6:12" ht="15.75" customHeight="1" x14ac:dyDescent="0.2">
      <c r="F781" s="115"/>
      <c r="G781" s="115"/>
      <c r="I781" s="115"/>
      <c r="J781" s="115"/>
      <c r="K781" s="115"/>
      <c r="L781" s="115"/>
    </row>
    <row r="782" spans="6:12" ht="15.75" customHeight="1" x14ac:dyDescent="0.2">
      <c r="F782" s="115"/>
      <c r="G782" s="115"/>
      <c r="I782" s="115"/>
      <c r="J782" s="115"/>
      <c r="K782" s="115"/>
      <c r="L782" s="115"/>
    </row>
    <row r="783" spans="6:12" ht="15.75" customHeight="1" x14ac:dyDescent="0.2">
      <c r="F783" s="115"/>
      <c r="G783" s="115"/>
      <c r="I783" s="115"/>
      <c r="J783" s="115"/>
      <c r="K783" s="115"/>
      <c r="L783" s="115"/>
    </row>
    <row r="784" spans="6:12" ht="15.75" customHeight="1" x14ac:dyDescent="0.2">
      <c r="F784" s="115"/>
      <c r="G784" s="115"/>
      <c r="I784" s="115"/>
      <c r="J784" s="115"/>
      <c r="K784" s="115"/>
      <c r="L784" s="115"/>
    </row>
    <row r="785" spans="6:12" ht="15.75" customHeight="1" x14ac:dyDescent="0.2">
      <c r="F785" s="115"/>
      <c r="G785" s="115"/>
      <c r="I785" s="115"/>
      <c r="J785" s="115"/>
      <c r="K785" s="115"/>
      <c r="L785" s="115"/>
    </row>
    <row r="786" spans="6:12" ht="15.75" customHeight="1" x14ac:dyDescent="0.2">
      <c r="F786" s="115"/>
      <c r="G786" s="115"/>
      <c r="I786" s="115"/>
      <c r="J786" s="115"/>
      <c r="K786" s="115"/>
      <c r="L786" s="115"/>
    </row>
    <row r="787" spans="6:12" ht="15.75" customHeight="1" x14ac:dyDescent="0.2">
      <c r="F787" s="115"/>
      <c r="G787" s="115"/>
      <c r="I787" s="115"/>
      <c r="J787" s="115"/>
      <c r="K787" s="115"/>
      <c r="L787" s="115"/>
    </row>
    <row r="788" spans="6:12" ht="15.75" customHeight="1" x14ac:dyDescent="0.2">
      <c r="F788" s="115"/>
      <c r="G788" s="115"/>
      <c r="I788" s="115"/>
      <c r="J788" s="115"/>
      <c r="K788" s="115"/>
      <c r="L788" s="115"/>
    </row>
    <row r="789" spans="6:12" ht="15.75" customHeight="1" x14ac:dyDescent="0.2">
      <c r="F789" s="115"/>
      <c r="G789" s="115"/>
      <c r="I789" s="115"/>
      <c r="J789" s="115"/>
      <c r="K789" s="115"/>
      <c r="L789" s="115"/>
    </row>
    <row r="790" spans="6:12" ht="15.75" customHeight="1" x14ac:dyDescent="0.2">
      <c r="F790" s="115"/>
      <c r="G790" s="115"/>
      <c r="I790" s="115"/>
      <c r="J790" s="115"/>
      <c r="K790" s="115"/>
      <c r="L790" s="115"/>
    </row>
    <row r="791" spans="6:12" ht="15.75" customHeight="1" x14ac:dyDescent="0.2">
      <c r="F791" s="115"/>
      <c r="G791" s="115"/>
      <c r="I791" s="115"/>
      <c r="J791" s="115"/>
      <c r="K791" s="115"/>
      <c r="L791" s="115"/>
    </row>
    <row r="792" spans="6:12" ht="15.75" customHeight="1" x14ac:dyDescent="0.2">
      <c r="F792" s="115"/>
      <c r="G792" s="115"/>
      <c r="I792" s="115"/>
      <c r="J792" s="115"/>
      <c r="K792" s="115"/>
      <c r="L792" s="115"/>
    </row>
    <row r="793" spans="6:12" ht="15.75" customHeight="1" x14ac:dyDescent="0.2">
      <c r="F793" s="115"/>
      <c r="G793" s="115"/>
      <c r="I793" s="115"/>
      <c r="J793" s="115"/>
      <c r="K793" s="115"/>
      <c r="L793" s="115"/>
    </row>
    <row r="794" spans="6:12" ht="15.75" customHeight="1" x14ac:dyDescent="0.2">
      <c r="F794" s="115"/>
      <c r="G794" s="115"/>
      <c r="I794" s="115"/>
      <c r="J794" s="115"/>
      <c r="K794" s="115"/>
      <c r="L794" s="115"/>
    </row>
    <row r="795" spans="6:12" ht="15.75" customHeight="1" x14ac:dyDescent="0.2">
      <c r="F795" s="115"/>
      <c r="G795" s="115"/>
      <c r="I795" s="115"/>
      <c r="J795" s="115"/>
      <c r="K795" s="115"/>
      <c r="L795" s="115"/>
    </row>
    <row r="796" spans="6:12" ht="15.75" customHeight="1" x14ac:dyDescent="0.2">
      <c r="F796" s="115"/>
      <c r="G796" s="115"/>
      <c r="I796" s="115"/>
      <c r="J796" s="115"/>
      <c r="K796" s="115"/>
      <c r="L796" s="115"/>
    </row>
    <row r="797" spans="6:12" ht="15.75" customHeight="1" x14ac:dyDescent="0.2">
      <c r="F797" s="115"/>
      <c r="G797" s="115"/>
      <c r="I797" s="115"/>
      <c r="J797" s="115"/>
      <c r="K797" s="115"/>
      <c r="L797" s="115"/>
    </row>
    <row r="798" spans="6:12" ht="15.75" customHeight="1" x14ac:dyDescent="0.2">
      <c r="F798" s="115"/>
      <c r="G798" s="115"/>
      <c r="I798" s="115"/>
      <c r="J798" s="115"/>
      <c r="K798" s="115"/>
      <c r="L798" s="115"/>
    </row>
    <row r="799" spans="6:12" ht="15.75" customHeight="1" x14ac:dyDescent="0.2">
      <c r="F799" s="115"/>
      <c r="G799" s="115"/>
      <c r="I799" s="115"/>
      <c r="J799" s="115"/>
      <c r="K799" s="115"/>
      <c r="L799" s="115"/>
    </row>
    <row r="800" spans="6:12" ht="15.75" customHeight="1" x14ac:dyDescent="0.2">
      <c r="F800" s="115"/>
      <c r="G800" s="115"/>
      <c r="I800" s="115"/>
      <c r="J800" s="115"/>
      <c r="K800" s="115"/>
      <c r="L800" s="115"/>
    </row>
    <row r="801" spans="6:12" ht="15.75" customHeight="1" x14ac:dyDescent="0.2">
      <c r="F801" s="115"/>
      <c r="G801" s="115"/>
      <c r="I801" s="115"/>
      <c r="J801" s="115"/>
      <c r="K801" s="115"/>
      <c r="L801" s="115"/>
    </row>
    <row r="802" spans="6:12" ht="15.75" customHeight="1" x14ac:dyDescent="0.2">
      <c r="F802" s="115"/>
      <c r="G802" s="115"/>
      <c r="I802" s="115"/>
      <c r="J802" s="115"/>
      <c r="K802" s="115"/>
      <c r="L802" s="115"/>
    </row>
    <row r="803" spans="6:12" ht="15.75" customHeight="1" x14ac:dyDescent="0.2">
      <c r="F803" s="115"/>
      <c r="G803" s="115"/>
      <c r="I803" s="115"/>
      <c r="J803" s="115"/>
      <c r="K803" s="115"/>
      <c r="L803" s="115"/>
    </row>
    <row r="804" spans="6:12" ht="15.75" customHeight="1" x14ac:dyDescent="0.2">
      <c r="F804" s="115"/>
      <c r="G804" s="115"/>
      <c r="I804" s="115"/>
      <c r="J804" s="115"/>
      <c r="K804" s="115"/>
      <c r="L804" s="115"/>
    </row>
    <row r="805" spans="6:12" ht="15.75" customHeight="1" x14ac:dyDescent="0.2">
      <c r="F805" s="115"/>
      <c r="G805" s="115"/>
      <c r="I805" s="115"/>
      <c r="J805" s="115"/>
      <c r="K805" s="115"/>
      <c r="L805" s="115"/>
    </row>
    <row r="806" spans="6:12" ht="15.75" customHeight="1" x14ac:dyDescent="0.2">
      <c r="F806" s="115"/>
      <c r="G806" s="115"/>
      <c r="I806" s="115"/>
      <c r="J806" s="115"/>
      <c r="K806" s="115"/>
      <c r="L806" s="115"/>
    </row>
    <row r="807" spans="6:12" ht="15.75" customHeight="1" x14ac:dyDescent="0.2">
      <c r="F807" s="115"/>
      <c r="G807" s="115"/>
      <c r="I807" s="115"/>
      <c r="J807" s="115"/>
      <c r="K807" s="115"/>
      <c r="L807" s="115"/>
    </row>
    <row r="808" spans="6:12" ht="15.75" customHeight="1" x14ac:dyDescent="0.2">
      <c r="F808" s="115"/>
      <c r="G808" s="115"/>
      <c r="I808" s="115"/>
      <c r="J808" s="115"/>
      <c r="K808" s="115"/>
      <c r="L808" s="115"/>
    </row>
    <row r="809" spans="6:12" ht="15.75" customHeight="1" x14ac:dyDescent="0.2">
      <c r="F809" s="115"/>
      <c r="G809" s="115"/>
      <c r="I809" s="115"/>
      <c r="J809" s="115"/>
      <c r="K809" s="115"/>
      <c r="L809" s="115"/>
    </row>
    <row r="810" spans="6:12" ht="15.75" customHeight="1" x14ac:dyDescent="0.2">
      <c r="F810" s="115"/>
      <c r="G810" s="115"/>
      <c r="I810" s="115"/>
      <c r="J810" s="115"/>
      <c r="K810" s="115"/>
      <c r="L810" s="115"/>
    </row>
    <row r="811" spans="6:12" ht="15.75" customHeight="1" x14ac:dyDescent="0.2">
      <c r="F811" s="115"/>
      <c r="G811" s="115"/>
      <c r="I811" s="115"/>
      <c r="J811" s="115"/>
      <c r="K811" s="115"/>
      <c r="L811" s="115"/>
    </row>
    <row r="812" spans="6:12" ht="15.75" customHeight="1" x14ac:dyDescent="0.2">
      <c r="F812" s="115"/>
      <c r="G812" s="115"/>
      <c r="I812" s="115"/>
      <c r="J812" s="115"/>
      <c r="K812" s="115"/>
      <c r="L812" s="115"/>
    </row>
    <row r="813" spans="6:12" ht="15.75" customHeight="1" x14ac:dyDescent="0.2">
      <c r="F813" s="115"/>
      <c r="G813" s="115"/>
      <c r="I813" s="115"/>
      <c r="J813" s="115"/>
      <c r="K813" s="115"/>
      <c r="L813" s="115"/>
    </row>
    <row r="814" spans="6:12" ht="15.75" customHeight="1" x14ac:dyDescent="0.2">
      <c r="F814" s="115"/>
      <c r="G814" s="115"/>
      <c r="I814" s="115"/>
      <c r="J814" s="115"/>
      <c r="K814" s="115"/>
      <c r="L814" s="115"/>
    </row>
    <row r="815" spans="6:12" ht="15.75" customHeight="1" x14ac:dyDescent="0.2">
      <c r="F815" s="115"/>
      <c r="G815" s="115"/>
      <c r="I815" s="115"/>
      <c r="J815" s="115"/>
      <c r="K815" s="115"/>
      <c r="L815" s="115"/>
    </row>
    <row r="816" spans="6:12" ht="15.75" customHeight="1" x14ac:dyDescent="0.2">
      <c r="F816" s="115"/>
      <c r="G816" s="115"/>
      <c r="I816" s="115"/>
      <c r="J816" s="115"/>
      <c r="K816" s="115"/>
      <c r="L816" s="115"/>
    </row>
    <row r="817" spans="6:12" ht="15.75" customHeight="1" x14ac:dyDescent="0.2">
      <c r="F817" s="115"/>
      <c r="G817" s="115"/>
      <c r="I817" s="115"/>
      <c r="J817" s="115"/>
      <c r="K817" s="115"/>
      <c r="L817" s="115"/>
    </row>
    <row r="818" spans="6:12" ht="15.75" customHeight="1" x14ac:dyDescent="0.2">
      <c r="F818" s="115"/>
      <c r="G818" s="115"/>
      <c r="I818" s="115"/>
      <c r="J818" s="115"/>
      <c r="K818" s="115"/>
      <c r="L818" s="115"/>
    </row>
    <row r="819" spans="6:12" ht="15.75" customHeight="1" x14ac:dyDescent="0.2">
      <c r="F819" s="115"/>
      <c r="G819" s="115"/>
      <c r="I819" s="115"/>
      <c r="J819" s="115"/>
      <c r="K819" s="115"/>
      <c r="L819" s="115"/>
    </row>
    <row r="820" spans="6:12" ht="15.75" customHeight="1" x14ac:dyDescent="0.2">
      <c r="F820" s="115"/>
      <c r="G820" s="115"/>
      <c r="I820" s="115"/>
      <c r="J820" s="115"/>
      <c r="K820" s="115"/>
      <c r="L820" s="115"/>
    </row>
    <row r="821" spans="6:12" ht="15.75" customHeight="1" x14ac:dyDescent="0.2">
      <c r="F821" s="115"/>
      <c r="G821" s="115"/>
      <c r="I821" s="115"/>
      <c r="J821" s="115"/>
      <c r="K821" s="115"/>
      <c r="L821" s="115"/>
    </row>
    <row r="822" spans="6:12" ht="15.75" customHeight="1" x14ac:dyDescent="0.2">
      <c r="F822" s="115"/>
      <c r="G822" s="115"/>
      <c r="I822" s="115"/>
      <c r="J822" s="115"/>
      <c r="K822" s="115"/>
      <c r="L822" s="115"/>
    </row>
    <row r="823" spans="6:12" ht="15.75" customHeight="1" x14ac:dyDescent="0.2">
      <c r="F823" s="115"/>
      <c r="G823" s="115"/>
      <c r="I823" s="115"/>
      <c r="J823" s="115"/>
      <c r="K823" s="115"/>
      <c r="L823" s="115"/>
    </row>
    <row r="824" spans="6:12" ht="15.75" customHeight="1" x14ac:dyDescent="0.2">
      <c r="F824" s="115"/>
      <c r="G824" s="115"/>
      <c r="I824" s="115"/>
      <c r="J824" s="115"/>
      <c r="K824" s="115"/>
      <c r="L824" s="115"/>
    </row>
    <row r="825" spans="6:12" ht="15.75" customHeight="1" x14ac:dyDescent="0.2">
      <c r="F825" s="115"/>
      <c r="G825" s="115"/>
      <c r="I825" s="115"/>
      <c r="J825" s="115"/>
      <c r="K825" s="115"/>
      <c r="L825" s="115"/>
    </row>
    <row r="826" spans="6:12" ht="15.75" customHeight="1" x14ac:dyDescent="0.2">
      <c r="F826" s="115"/>
      <c r="G826" s="115"/>
      <c r="I826" s="115"/>
      <c r="J826" s="115"/>
      <c r="K826" s="115"/>
      <c r="L826" s="115"/>
    </row>
    <row r="827" spans="6:12" ht="15.75" customHeight="1" x14ac:dyDescent="0.2">
      <c r="F827" s="115"/>
      <c r="G827" s="115"/>
      <c r="I827" s="115"/>
      <c r="J827" s="115"/>
      <c r="K827" s="115"/>
      <c r="L827" s="115"/>
    </row>
    <row r="828" spans="6:12" ht="15.75" customHeight="1" x14ac:dyDescent="0.2">
      <c r="F828" s="115"/>
      <c r="G828" s="115"/>
      <c r="I828" s="115"/>
      <c r="J828" s="115"/>
      <c r="K828" s="115"/>
      <c r="L828" s="115"/>
    </row>
    <row r="829" spans="6:12" ht="15.75" customHeight="1" x14ac:dyDescent="0.2">
      <c r="F829" s="115"/>
      <c r="G829" s="115"/>
      <c r="I829" s="115"/>
      <c r="J829" s="115"/>
      <c r="K829" s="115"/>
      <c r="L829" s="115"/>
    </row>
    <row r="830" spans="6:12" ht="15.75" customHeight="1" x14ac:dyDescent="0.2">
      <c r="F830" s="115"/>
      <c r="G830" s="115"/>
      <c r="I830" s="115"/>
      <c r="J830" s="115"/>
      <c r="K830" s="115"/>
      <c r="L830" s="115"/>
    </row>
    <row r="831" spans="6:12" ht="15.75" customHeight="1" x14ac:dyDescent="0.2">
      <c r="F831" s="115"/>
      <c r="G831" s="115"/>
      <c r="I831" s="115"/>
      <c r="J831" s="115"/>
      <c r="K831" s="115"/>
      <c r="L831" s="115"/>
    </row>
    <row r="832" spans="6:12" ht="15.75" customHeight="1" x14ac:dyDescent="0.2">
      <c r="F832" s="115"/>
      <c r="G832" s="115"/>
      <c r="I832" s="115"/>
      <c r="J832" s="115"/>
      <c r="K832" s="115"/>
      <c r="L832" s="115"/>
    </row>
    <row r="833" spans="6:12" ht="15.75" customHeight="1" x14ac:dyDescent="0.2">
      <c r="F833" s="115"/>
      <c r="G833" s="115"/>
      <c r="I833" s="115"/>
      <c r="J833" s="115"/>
      <c r="K833" s="115"/>
      <c r="L833" s="115"/>
    </row>
    <row r="834" spans="6:12" ht="15.75" customHeight="1" x14ac:dyDescent="0.2">
      <c r="F834" s="115"/>
      <c r="G834" s="115"/>
      <c r="I834" s="115"/>
      <c r="J834" s="115"/>
      <c r="K834" s="115"/>
      <c r="L834" s="115"/>
    </row>
    <row r="835" spans="6:12" ht="15.75" customHeight="1" x14ac:dyDescent="0.2">
      <c r="F835" s="115"/>
      <c r="G835" s="115"/>
      <c r="I835" s="115"/>
      <c r="J835" s="115"/>
      <c r="K835" s="115"/>
      <c r="L835" s="115"/>
    </row>
    <row r="836" spans="6:12" ht="15.75" customHeight="1" x14ac:dyDescent="0.2">
      <c r="F836" s="115"/>
      <c r="G836" s="115"/>
      <c r="I836" s="115"/>
      <c r="J836" s="115"/>
      <c r="K836" s="115"/>
      <c r="L836" s="115"/>
    </row>
    <row r="837" spans="6:12" ht="15.75" customHeight="1" x14ac:dyDescent="0.2">
      <c r="F837" s="115"/>
      <c r="G837" s="115"/>
      <c r="I837" s="115"/>
      <c r="J837" s="115"/>
      <c r="K837" s="115"/>
      <c r="L837" s="115"/>
    </row>
    <row r="838" spans="6:12" ht="15.75" customHeight="1" x14ac:dyDescent="0.2">
      <c r="F838" s="115"/>
      <c r="G838" s="115"/>
      <c r="I838" s="115"/>
      <c r="J838" s="115"/>
      <c r="K838" s="115"/>
      <c r="L838" s="115"/>
    </row>
    <row r="839" spans="6:12" ht="15.75" customHeight="1" x14ac:dyDescent="0.2">
      <c r="F839" s="115"/>
      <c r="G839" s="115"/>
      <c r="I839" s="115"/>
      <c r="J839" s="115"/>
      <c r="K839" s="115"/>
      <c r="L839" s="115"/>
    </row>
    <row r="840" spans="6:12" ht="15.75" customHeight="1" x14ac:dyDescent="0.2">
      <c r="F840" s="115"/>
      <c r="G840" s="115"/>
      <c r="I840" s="115"/>
      <c r="J840" s="115"/>
      <c r="K840" s="115"/>
      <c r="L840" s="115"/>
    </row>
    <row r="841" spans="6:12" ht="15.75" customHeight="1" x14ac:dyDescent="0.2">
      <c r="F841" s="115"/>
      <c r="G841" s="115"/>
      <c r="I841" s="115"/>
      <c r="J841" s="115"/>
      <c r="K841" s="115"/>
      <c r="L841" s="115"/>
    </row>
    <row r="842" spans="6:12" ht="15.75" customHeight="1" x14ac:dyDescent="0.2">
      <c r="F842" s="115"/>
      <c r="G842" s="115"/>
      <c r="I842" s="115"/>
      <c r="J842" s="115"/>
      <c r="K842" s="115"/>
      <c r="L842" s="115"/>
    </row>
    <row r="843" spans="6:12" ht="15.75" customHeight="1" x14ac:dyDescent="0.2">
      <c r="F843" s="115"/>
      <c r="G843" s="115"/>
      <c r="I843" s="115"/>
      <c r="J843" s="115"/>
      <c r="K843" s="115"/>
      <c r="L843" s="115"/>
    </row>
    <row r="844" spans="6:12" ht="15.75" customHeight="1" x14ac:dyDescent="0.2">
      <c r="F844" s="115"/>
      <c r="G844" s="115"/>
      <c r="I844" s="115"/>
      <c r="J844" s="115"/>
      <c r="K844" s="115"/>
      <c r="L844" s="115"/>
    </row>
    <row r="845" spans="6:12" ht="15.75" customHeight="1" x14ac:dyDescent="0.2">
      <c r="F845" s="115"/>
      <c r="G845" s="115"/>
      <c r="I845" s="115"/>
      <c r="J845" s="115"/>
      <c r="K845" s="115"/>
      <c r="L845" s="115"/>
    </row>
    <row r="846" spans="6:12" ht="15.75" customHeight="1" x14ac:dyDescent="0.2">
      <c r="F846" s="115"/>
      <c r="G846" s="115"/>
      <c r="I846" s="115"/>
      <c r="J846" s="115"/>
      <c r="K846" s="115"/>
      <c r="L846" s="115"/>
    </row>
    <row r="847" spans="6:12" ht="15.75" customHeight="1" x14ac:dyDescent="0.2">
      <c r="F847" s="115"/>
      <c r="G847" s="115"/>
      <c r="I847" s="115"/>
      <c r="J847" s="115"/>
      <c r="K847" s="115"/>
      <c r="L847" s="115"/>
    </row>
    <row r="848" spans="6:12" ht="15.75" customHeight="1" x14ac:dyDescent="0.2">
      <c r="F848" s="115"/>
      <c r="G848" s="115"/>
      <c r="I848" s="115"/>
      <c r="J848" s="115"/>
      <c r="K848" s="115"/>
      <c r="L848" s="115"/>
    </row>
    <row r="849" spans="6:12" ht="15.75" customHeight="1" x14ac:dyDescent="0.2">
      <c r="F849" s="115"/>
      <c r="G849" s="115"/>
      <c r="I849" s="115"/>
      <c r="J849" s="115"/>
      <c r="K849" s="115"/>
      <c r="L849" s="115"/>
    </row>
    <row r="850" spans="6:12" ht="15.75" customHeight="1" x14ac:dyDescent="0.2">
      <c r="F850" s="115"/>
      <c r="G850" s="115"/>
      <c r="I850" s="115"/>
      <c r="J850" s="115"/>
      <c r="K850" s="115"/>
      <c r="L850" s="115"/>
    </row>
    <row r="851" spans="6:12" ht="15.75" customHeight="1" x14ac:dyDescent="0.2">
      <c r="F851" s="115"/>
      <c r="G851" s="115"/>
      <c r="I851" s="115"/>
      <c r="J851" s="115"/>
      <c r="K851" s="115"/>
      <c r="L851" s="115"/>
    </row>
    <row r="852" spans="6:12" ht="15.75" customHeight="1" x14ac:dyDescent="0.2">
      <c r="F852" s="115"/>
      <c r="G852" s="115"/>
      <c r="I852" s="115"/>
      <c r="J852" s="115"/>
      <c r="K852" s="115"/>
      <c r="L852" s="115"/>
    </row>
    <row r="853" spans="6:12" ht="15.75" customHeight="1" x14ac:dyDescent="0.2">
      <c r="F853" s="115"/>
      <c r="G853" s="115"/>
      <c r="I853" s="115"/>
      <c r="J853" s="115"/>
      <c r="K853" s="115"/>
      <c r="L853" s="115"/>
    </row>
    <row r="854" spans="6:12" ht="15.75" customHeight="1" x14ac:dyDescent="0.2">
      <c r="F854" s="115"/>
      <c r="G854" s="115"/>
      <c r="I854" s="115"/>
      <c r="J854" s="115"/>
      <c r="K854" s="115"/>
      <c r="L854" s="115"/>
    </row>
    <row r="855" spans="6:12" ht="15.75" customHeight="1" x14ac:dyDescent="0.2">
      <c r="F855" s="115"/>
      <c r="G855" s="115"/>
      <c r="I855" s="115"/>
      <c r="J855" s="115"/>
      <c r="K855" s="115"/>
      <c r="L855" s="115"/>
    </row>
    <row r="856" spans="6:12" ht="15.75" customHeight="1" x14ac:dyDescent="0.2">
      <c r="F856" s="115"/>
      <c r="G856" s="115"/>
      <c r="I856" s="115"/>
      <c r="J856" s="115"/>
      <c r="K856" s="115"/>
      <c r="L856" s="115"/>
    </row>
    <row r="857" spans="6:12" ht="15.75" customHeight="1" x14ac:dyDescent="0.2">
      <c r="F857" s="115"/>
      <c r="G857" s="115"/>
      <c r="I857" s="115"/>
      <c r="J857" s="115"/>
      <c r="K857" s="115"/>
      <c r="L857" s="115"/>
    </row>
    <row r="858" spans="6:12" ht="15.75" customHeight="1" x14ac:dyDescent="0.2">
      <c r="F858" s="115"/>
      <c r="G858" s="115"/>
      <c r="I858" s="115"/>
      <c r="J858" s="115"/>
      <c r="K858" s="115"/>
      <c r="L858" s="115"/>
    </row>
    <row r="859" spans="6:12" ht="15.75" customHeight="1" x14ac:dyDescent="0.2">
      <c r="F859" s="115"/>
      <c r="G859" s="115"/>
      <c r="I859" s="115"/>
      <c r="J859" s="115"/>
      <c r="K859" s="115"/>
      <c r="L859" s="115"/>
    </row>
    <row r="860" spans="6:12" ht="15.75" customHeight="1" x14ac:dyDescent="0.2">
      <c r="F860" s="115"/>
      <c r="G860" s="115"/>
      <c r="I860" s="115"/>
      <c r="J860" s="115"/>
      <c r="K860" s="115"/>
      <c r="L860" s="115"/>
    </row>
    <row r="861" spans="6:12" ht="15.75" customHeight="1" x14ac:dyDescent="0.2">
      <c r="F861" s="115"/>
      <c r="G861" s="115"/>
      <c r="I861" s="115"/>
      <c r="J861" s="115"/>
      <c r="K861" s="115"/>
      <c r="L861" s="115"/>
    </row>
    <row r="862" spans="6:12" ht="15.75" customHeight="1" x14ac:dyDescent="0.2">
      <c r="F862" s="115"/>
      <c r="G862" s="115"/>
      <c r="I862" s="115"/>
      <c r="J862" s="115"/>
      <c r="K862" s="115"/>
      <c r="L862" s="115"/>
    </row>
    <row r="863" spans="6:12" ht="15.75" customHeight="1" x14ac:dyDescent="0.2">
      <c r="F863" s="115"/>
      <c r="G863" s="115"/>
      <c r="I863" s="115"/>
      <c r="J863" s="115"/>
      <c r="K863" s="115"/>
      <c r="L863" s="115"/>
    </row>
    <row r="864" spans="6:12" ht="15.75" customHeight="1" x14ac:dyDescent="0.2">
      <c r="F864" s="115"/>
      <c r="G864" s="115"/>
      <c r="I864" s="115"/>
      <c r="J864" s="115"/>
      <c r="K864" s="115"/>
      <c r="L864" s="115"/>
    </row>
    <row r="865" spans="6:12" ht="15.75" customHeight="1" x14ac:dyDescent="0.2">
      <c r="F865" s="115"/>
      <c r="G865" s="115"/>
      <c r="I865" s="115"/>
      <c r="J865" s="115"/>
      <c r="K865" s="115"/>
      <c r="L865" s="115"/>
    </row>
    <row r="866" spans="6:12" ht="15.75" customHeight="1" x14ac:dyDescent="0.2">
      <c r="F866" s="115"/>
      <c r="G866" s="115"/>
      <c r="I866" s="115"/>
      <c r="J866" s="115"/>
      <c r="K866" s="115"/>
      <c r="L866" s="115"/>
    </row>
    <row r="867" spans="6:12" ht="15.75" customHeight="1" x14ac:dyDescent="0.2">
      <c r="F867" s="115"/>
      <c r="G867" s="115"/>
      <c r="I867" s="115"/>
      <c r="J867" s="115"/>
      <c r="K867" s="115"/>
      <c r="L867" s="115"/>
    </row>
    <row r="868" spans="6:12" ht="15.75" customHeight="1" x14ac:dyDescent="0.2">
      <c r="F868" s="115"/>
      <c r="G868" s="115"/>
      <c r="I868" s="115"/>
      <c r="J868" s="115"/>
      <c r="K868" s="115"/>
      <c r="L868" s="115"/>
    </row>
    <row r="869" spans="6:12" ht="15.75" customHeight="1" x14ac:dyDescent="0.2">
      <c r="F869" s="115"/>
      <c r="G869" s="115"/>
      <c r="I869" s="115"/>
      <c r="J869" s="115"/>
      <c r="K869" s="115"/>
      <c r="L869" s="115"/>
    </row>
    <row r="870" spans="6:12" ht="15.75" customHeight="1" x14ac:dyDescent="0.2">
      <c r="F870" s="115"/>
      <c r="G870" s="115"/>
      <c r="I870" s="115"/>
      <c r="J870" s="115"/>
      <c r="K870" s="115"/>
      <c r="L870" s="115"/>
    </row>
    <row r="871" spans="6:12" ht="15.75" customHeight="1" x14ac:dyDescent="0.2">
      <c r="F871" s="115"/>
      <c r="G871" s="115"/>
      <c r="I871" s="115"/>
      <c r="J871" s="115"/>
      <c r="K871" s="115"/>
      <c r="L871" s="115"/>
    </row>
    <row r="872" spans="6:12" ht="15.75" customHeight="1" x14ac:dyDescent="0.2">
      <c r="F872" s="115"/>
      <c r="G872" s="115"/>
      <c r="I872" s="115"/>
      <c r="J872" s="115"/>
      <c r="K872" s="115"/>
      <c r="L872" s="115"/>
    </row>
    <row r="873" spans="6:12" ht="15.75" customHeight="1" x14ac:dyDescent="0.2">
      <c r="F873" s="115"/>
      <c r="G873" s="115"/>
      <c r="I873" s="115"/>
      <c r="J873" s="115"/>
      <c r="K873" s="115"/>
      <c r="L873" s="115"/>
    </row>
    <row r="874" spans="6:12" ht="15.75" customHeight="1" x14ac:dyDescent="0.2">
      <c r="F874" s="115"/>
      <c r="G874" s="115"/>
      <c r="I874" s="115"/>
      <c r="J874" s="115"/>
      <c r="K874" s="115"/>
      <c r="L874" s="115"/>
    </row>
    <row r="875" spans="6:12" ht="15.75" customHeight="1" x14ac:dyDescent="0.2">
      <c r="F875" s="115"/>
      <c r="G875" s="115"/>
      <c r="I875" s="115"/>
      <c r="J875" s="115"/>
      <c r="K875" s="115"/>
      <c r="L875" s="115"/>
    </row>
    <row r="876" spans="6:12" ht="15.75" customHeight="1" x14ac:dyDescent="0.2">
      <c r="F876" s="115"/>
      <c r="G876" s="115"/>
      <c r="I876" s="115"/>
      <c r="J876" s="115"/>
      <c r="K876" s="115"/>
      <c r="L876" s="115"/>
    </row>
    <row r="877" spans="6:12" ht="15.75" customHeight="1" x14ac:dyDescent="0.2">
      <c r="F877" s="115"/>
      <c r="G877" s="115"/>
      <c r="I877" s="115"/>
      <c r="J877" s="115"/>
      <c r="K877" s="115"/>
      <c r="L877" s="115"/>
    </row>
    <row r="878" spans="6:12" ht="15.75" customHeight="1" x14ac:dyDescent="0.2">
      <c r="F878" s="115"/>
      <c r="G878" s="115"/>
      <c r="I878" s="115"/>
      <c r="J878" s="115"/>
      <c r="K878" s="115"/>
      <c r="L878" s="115"/>
    </row>
    <row r="879" spans="6:12" ht="15.75" customHeight="1" x14ac:dyDescent="0.2">
      <c r="F879" s="115"/>
      <c r="G879" s="115"/>
      <c r="I879" s="115"/>
      <c r="J879" s="115"/>
      <c r="K879" s="115"/>
      <c r="L879" s="115"/>
    </row>
    <row r="880" spans="6:12" ht="15.75" customHeight="1" x14ac:dyDescent="0.2">
      <c r="F880" s="115"/>
      <c r="G880" s="115"/>
      <c r="I880" s="115"/>
      <c r="J880" s="115"/>
      <c r="K880" s="115"/>
      <c r="L880" s="115"/>
    </row>
    <row r="881" spans="6:12" ht="15.75" customHeight="1" x14ac:dyDescent="0.2">
      <c r="F881" s="115"/>
      <c r="G881" s="115"/>
      <c r="I881" s="115"/>
      <c r="J881" s="115"/>
      <c r="K881" s="115"/>
      <c r="L881" s="115"/>
    </row>
    <row r="882" spans="6:12" ht="15.75" customHeight="1" x14ac:dyDescent="0.2">
      <c r="F882" s="115"/>
      <c r="G882" s="115"/>
      <c r="I882" s="115"/>
      <c r="J882" s="115"/>
      <c r="K882" s="115"/>
      <c r="L882" s="115"/>
    </row>
    <row r="883" spans="6:12" ht="15.75" customHeight="1" x14ac:dyDescent="0.2">
      <c r="F883" s="115"/>
      <c r="G883" s="115"/>
      <c r="I883" s="115"/>
      <c r="J883" s="115"/>
      <c r="K883" s="115"/>
      <c r="L883" s="115"/>
    </row>
    <row r="884" spans="6:12" ht="15.75" customHeight="1" x14ac:dyDescent="0.2">
      <c r="F884" s="115"/>
      <c r="G884" s="115"/>
      <c r="I884" s="115"/>
      <c r="J884" s="115"/>
      <c r="K884" s="115"/>
      <c r="L884" s="115"/>
    </row>
    <row r="885" spans="6:12" ht="15.75" customHeight="1" x14ac:dyDescent="0.2">
      <c r="F885" s="115"/>
      <c r="G885" s="115"/>
      <c r="I885" s="115"/>
      <c r="J885" s="115"/>
      <c r="K885" s="115"/>
      <c r="L885" s="115"/>
    </row>
    <row r="886" spans="6:12" ht="15.75" customHeight="1" x14ac:dyDescent="0.2">
      <c r="F886" s="115"/>
      <c r="G886" s="115"/>
      <c r="I886" s="115"/>
      <c r="J886" s="115"/>
      <c r="K886" s="115"/>
      <c r="L886" s="115"/>
    </row>
    <row r="887" spans="6:12" ht="15.75" customHeight="1" x14ac:dyDescent="0.2">
      <c r="F887" s="115"/>
      <c r="G887" s="115"/>
      <c r="I887" s="115"/>
      <c r="J887" s="115"/>
      <c r="K887" s="115"/>
      <c r="L887" s="115"/>
    </row>
    <row r="888" spans="6:12" ht="15.75" customHeight="1" x14ac:dyDescent="0.2">
      <c r="F888" s="115"/>
      <c r="G888" s="115"/>
      <c r="I888" s="115"/>
      <c r="J888" s="115"/>
      <c r="K888" s="115"/>
      <c r="L888" s="115"/>
    </row>
    <row r="889" spans="6:12" ht="15.75" customHeight="1" x14ac:dyDescent="0.2">
      <c r="F889" s="115"/>
      <c r="G889" s="115"/>
      <c r="I889" s="115"/>
      <c r="J889" s="115"/>
      <c r="K889" s="115"/>
      <c r="L889" s="115"/>
    </row>
    <row r="890" spans="6:12" ht="15.75" customHeight="1" x14ac:dyDescent="0.2">
      <c r="F890" s="115"/>
      <c r="G890" s="115"/>
      <c r="I890" s="115"/>
      <c r="J890" s="115"/>
      <c r="K890" s="115"/>
      <c r="L890" s="115"/>
    </row>
    <row r="891" spans="6:12" ht="15.75" customHeight="1" x14ac:dyDescent="0.2">
      <c r="F891" s="115"/>
      <c r="G891" s="115"/>
      <c r="I891" s="115"/>
      <c r="J891" s="115"/>
      <c r="K891" s="115"/>
      <c r="L891" s="115"/>
    </row>
    <row r="892" spans="6:12" ht="15.75" customHeight="1" x14ac:dyDescent="0.2">
      <c r="F892" s="115"/>
      <c r="G892" s="115"/>
      <c r="I892" s="115"/>
      <c r="J892" s="115"/>
      <c r="K892" s="115"/>
      <c r="L892" s="115"/>
    </row>
    <row r="893" spans="6:12" ht="15.75" customHeight="1" x14ac:dyDescent="0.2">
      <c r="F893" s="115"/>
      <c r="G893" s="115"/>
      <c r="I893" s="115"/>
      <c r="J893" s="115"/>
      <c r="K893" s="115"/>
      <c r="L893" s="115"/>
    </row>
    <row r="894" spans="6:12" ht="15.75" customHeight="1" x14ac:dyDescent="0.2">
      <c r="F894" s="115"/>
      <c r="G894" s="115"/>
      <c r="I894" s="115"/>
      <c r="J894" s="115"/>
      <c r="K894" s="115"/>
      <c r="L894" s="115"/>
    </row>
    <row r="895" spans="6:12" ht="15.75" customHeight="1" x14ac:dyDescent="0.2">
      <c r="F895" s="115"/>
      <c r="G895" s="115"/>
      <c r="I895" s="115"/>
      <c r="J895" s="115"/>
      <c r="K895" s="115"/>
      <c r="L895" s="115"/>
    </row>
    <row r="896" spans="6:12" ht="15.75" customHeight="1" x14ac:dyDescent="0.2">
      <c r="F896" s="115"/>
      <c r="G896" s="115"/>
      <c r="I896" s="115"/>
      <c r="J896" s="115"/>
      <c r="K896" s="115"/>
      <c r="L896" s="115"/>
    </row>
    <row r="897" spans="6:12" ht="15.75" customHeight="1" x14ac:dyDescent="0.2">
      <c r="F897" s="115"/>
      <c r="G897" s="115"/>
      <c r="I897" s="115"/>
      <c r="J897" s="115"/>
      <c r="K897" s="115"/>
      <c r="L897" s="115"/>
    </row>
    <row r="898" spans="6:12" ht="15.75" customHeight="1" x14ac:dyDescent="0.2">
      <c r="F898" s="115"/>
      <c r="G898" s="115"/>
      <c r="I898" s="115"/>
      <c r="J898" s="115"/>
      <c r="K898" s="115"/>
      <c r="L898" s="115"/>
    </row>
    <row r="899" spans="6:12" ht="15.75" customHeight="1" x14ac:dyDescent="0.2">
      <c r="F899" s="115"/>
      <c r="G899" s="115"/>
      <c r="I899" s="115"/>
      <c r="J899" s="115"/>
      <c r="K899" s="115"/>
      <c r="L899" s="115"/>
    </row>
    <row r="900" spans="6:12" ht="15.75" customHeight="1" x14ac:dyDescent="0.2">
      <c r="F900" s="115"/>
      <c r="G900" s="115"/>
      <c r="I900" s="115"/>
      <c r="J900" s="115"/>
      <c r="K900" s="115"/>
      <c r="L900" s="115"/>
    </row>
    <row r="901" spans="6:12" ht="15.75" customHeight="1" x14ac:dyDescent="0.2">
      <c r="F901" s="115"/>
      <c r="G901" s="115"/>
      <c r="I901" s="115"/>
      <c r="J901" s="115"/>
      <c r="K901" s="115"/>
      <c r="L901" s="115"/>
    </row>
    <row r="902" spans="6:12" ht="15.75" customHeight="1" x14ac:dyDescent="0.2">
      <c r="F902" s="115"/>
      <c r="G902" s="115"/>
      <c r="I902" s="115"/>
      <c r="J902" s="115"/>
      <c r="K902" s="115"/>
      <c r="L902" s="115"/>
    </row>
    <row r="903" spans="6:12" ht="15.75" customHeight="1" x14ac:dyDescent="0.2">
      <c r="F903" s="115"/>
      <c r="G903" s="115"/>
      <c r="I903" s="115"/>
      <c r="J903" s="115"/>
      <c r="K903" s="115"/>
      <c r="L903" s="115"/>
    </row>
    <row r="904" spans="6:12" ht="15.75" customHeight="1" x14ac:dyDescent="0.2">
      <c r="F904" s="115"/>
      <c r="G904" s="115"/>
      <c r="I904" s="115"/>
      <c r="J904" s="115"/>
      <c r="K904" s="115"/>
      <c r="L904" s="115"/>
    </row>
    <row r="905" spans="6:12" ht="15.75" customHeight="1" x14ac:dyDescent="0.2">
      <c r="F905" s="115"/>
      <c r="G905" s="115"/>
      <c r="I905" s="115"/>
      <c r="J905" s="115"/>
      <c r="K905" s="115"/>
      <c r="L905" s="115"/>
    </row>
    <row r="906" spans="6:12" ht="15.75" customHeight="1" x14ac:dyDescent="0.2">
      <c r="F906" s="115"/>
      <c r="G906" s="115"/>
      <c r="I906" s="115"/>
      <c r="J906" s="115"/>
      <c r="K906" s="115"/>
      <c r="L906" s="115"/>
    </row>
    <row r="907" spans="6:12" ht="15.75" customHeight="1" x14ac:dyDescent="0.2">
      <c r="F907" s="115"/>
      <c r="G907" s="115"/>
      <c r="I907" s="115"/>
      <c r="J907" s="115"/>
      <c r="K907" s="115"/>
      <c r="L907" s="115"/>
    </row>
    <row r="908" spans="6:12" ht="15.75" customHeight="1" x14ac:dyDescent="0.2">
      <c r="F908" s="115"/>
      <c r="G908" s="115"/>
      <c r="I908" s="115"/>
      <c r="J908" s="115"/>
      <c r="K908" s="115"/>
      <c r="L908" s="115"/>
    </row>
    <row r="909" spans="6:12" ht="15.75" customHeight="1" x14ac:dyDescent="0.2">
      <c r="F909" s="115"/>
      <c r="G909" s="115"/>
      <c r="I909" s="115"/>
      <c r="J909" s="115"/>
      <c r="K909" s="115"/>
      <c r="L909" s="115"/>
    </row>
    <row r="910" spans="6:12" ht="15.75" customHeight="1" x14ac:dyDescent="0.2">
      <c r="F910" s="115"/>
      <c r="G910" s="115"/>
      <c r="I910" s="115"/>
      <c r="J910" s="115"/>
      <c r="K910" s="115"/>
      <c r="L910" s="115"/>
    </row>
    <row r="911" spans="6:12" ht="15.75" customHeight="1" x14ac:dyDescent="0.2">
      <c r="F911" s="115"/>
      <c r="G911" s="115"/>
      <c r="I911" s="115"/>
      <c r="J911" s="115"/>
      <c r="K911" s="115"/>
      <c r="L911" s="115"/>
    </row>
    <row r="912" spans="6:12" ht="15.75" customHeight="1" x14ac:dyDescent="0.2">
      <c r="F912" s="115"/>
      <c r="G912" s="115"/>
      <c r="I912" s="115"/>
      <c r="J912" s="115"/>
      <c r="K912" s="115"/>
      <c r="L912" s="115"/>
    </row>
    <row r="913" spans="6:12" ht="15.75" customHeight="1" x14ac:dyDescent="0.2">
      <c r="F913" s="115"/>
      <c r="G913" s="115"/>
      <c r="I913" s="115"/>
      <c r="J913" s="115"/>
      <c r="K913" s="115"/>
      <c r="L913" s="115"/>
    </row>
    <row r="914" spans="6:12" ht="15.75" customHeight="1" x14ac:dyDescent="0.2">
      <c r="F914" s="115"/>
      <c r="G914" s="115"/>
      <c r="I914" s="115"/>
      <c r="J914" s="115"/>
      <c r="K914" s="115"/>
      <c r="L914" s="115"/>
    </row>
    <row r="915" spans="6:12" ht="15.75" customHeight="1" x14ac:dyDescent="0.2">
      <c r="F915" s="115"/>
      <c r="G915" s="115"/>
      <c r="I915" s="115"/>
      <c r="J915" s="115"/>
      <c r="K915" s="115"/>
      <c r="L915" s="115"/>
    </row>
    <row r="916" spans="6:12" ht="15.75" customHeight="1" x14ac:dyDescent="0.2">
      <c r="F916" s="115"/>
      <c r="G916" s="115"/>
      <c r="I916" s="115"/>
      <c r="J916" s="115"/>
      <c r="K916" s="115"/>
      <c r="L916" s="115"/>
    </row>
    <row r="917" spans="6:12" ht="15.75" customHeight="1" x14ac:dyDescent="0.2">
      <c r="F917" s="115"/>
      <c r="G917" s="115"/>
      <c r="I917" s="115"/>
      <c r="J917" s="115"/>
      <c r="K917" s="115"/>
      <c r="L917" s="115"/>
    </row>
    <row r="918" spans="6:12" ht="15.75" customHeight="1" x14ac:dyDescent="0.2">
      <c r="F918" s="115"/>
      <c r="G918" s="115"/>
      <c r="I918" s="115"/>
      <c r="J918" s="115"/>
      <c r="K918" s="115"/>
      <c r="L918" s="115"/>
    </row>
    <row r="919" spans="6:12" ht="15.75" customHeight="1" x14ac:dyDescent="0.2">
      <c r="F919" s="115"/>
      <c r="G919" s="115"/>
      <c r="I919" s="115"/>
      <c r="J919" s="115"/>
      <c r="K919" s="115"/>
      <c r="L919" s="115"/>
    </row>
    <row r="920" spans="6:12" ht="15.75" customHeight="1" x14ac:dyDescent="0.2">
      <c r="F920" s="115"/>
      <c r="G920" s="115"/>
      <c r="I920" s="115"/>
      <c r="J920" s="115"/>
      <c r="K920" s="115"/>
      <c r="L920" s="115"/>
    </row>
    <row r="921" spans="6:12" ht="15.75" customHeight="1" x14ac:dyDescent="0.2">
      <c r="F921" s="115"/>
      <c r="G921" s="115"/>
      <c r="I921" s="115"/>
      <c r="J921" s="115"/>
      <c r="K921" s="115"/>
      <c r="L921" s="115"/>
    </row>
    <row r="922" spans="6:12" ht="15.75" customHeight="1" x14ac:dyDescent="0.2">
      <c r="F922" s="115"/>
      <c r="G922" s="115"/>
      <c r="I922" s="115"/>
      <c r="J922" s="115"/>
      <c r="K922" s="115"/>
      <c r="L922" s="115"/>
    </row>
    <row r="923" spans="6:12" ht="15.75" customHeight="1" x14ac:dyDescent="0.2">
      <c r="F923" s="115"/>
      <c r="G923" s="115"/>
      <c r="I923" s="115"/>
      <c r="J923" s="115"/>
      <c r="K923" s="115"/>
      <c r="L923" s="115"/>
    </row>
    <row r="924" spans="6:12" ht="15.75" customHeight="1" x14ac:dyDescent="0.2">
      <c r="F924" s="115"/>
      <c r="G924" s="115"/>
      <c r="I924" s="115"/>
      <c r="J924" s="115"/>
      <c r="K924" s="115"/>
      <c r="L924" s="115"/>
    </row>
    <row r="925" spans="6:12" ht="15.75" customHeight="1" x14ac:dyDescent="0.2">
      <c r="F925" s="115"/>
      <c r="G925" s="115"/>
      <c r="I925" s="115"/>
      <c r="J925" s="115"/>
      <c r="K925" s="115"/>
      <c r="L925" s="115"/>
    </row>
    <row r="926" spans="6:12" ht="15.75" customHeight="1" x14ac:dyDescent="0.2">
      <c r="F926" s="115"/>
      <c r="G926" s="115"/>
      <c r="I926" s="115"/>
      <c r="J926" s="115"/>
      <c r="K926" s="115"/>
      <c r="L926" s="115"/>
    </row>
    <row r="927" spans="6:12" ht="15.75" customHeight="1" x14ac:dyDescent="0.2">
      <c r="F927" s="115"/>
      <c r="G927" s="115"/>
      <c r="I927" s="115"/>
      <c r="J927" s="115"/>
      <c r="K927" s="115"/>
      <c r="L927" s="115"/>
    </row>
    <row r="928" spans="6:12" ht="15.75" customHeight="1" x14ac:dyDescent="0.2">
      <c r="F928" s="115"/>
      <c r="G928" s="115"/>
      <c r="I928" s="115"/>
      <c r="J928" s="115"/>
      <c r="K928" s="115"/>
      <c r="L928" s="115"/>
    </row>
    <row r="929" spans="6:12" ht="15.75" customHeight="1" x14ac:dyDescent="0.2">
      <c r="F929" s="115"/>
      <c r="G929" s="115"/>
      <c r="I929" s="115"/>
      <c r="J929" s="115"/>
      <c r="K929" s="115"/>
      <c r="L929" s="115"/>
    </row>
    <row r="930" spans="6:12" ht="15.75" customHeight="1" x14ac:dyDescent="0.2">
      <c r="F930" s="115"/>
      <c r="G930" s="115"/>
      <c r="I930" s="115"/>
      <c r="J930" s="115"/>
      <c r="K930" s="115"/>
      <c r="L930" s="115"/>
    </row>
    <row r="931" spans="6:12" ht="15.75" customHeight="1" x14ac:dyDescent="0.2">
      <c r="F931" s="115"/>
      <c r="G931" s="115"/>
      <c r="I931" s="115"/>
      <c r="J931" s="115"/>
      <c r="K931" s="115"/>
      <c r="L931" s="115"/>
    </row>
    <row r="932" spans="6:12" ht="15.75" customHeight="1" x14ac:dyDescent="0.2">
      <c r="F932" s="115"/>
      <c r="G932" s="115"/>
      <c r="I932" s="115"/>
      <c r="J932" s="115"/>
      <c r="K932" s="115"/>
      <c r="L932" s="115"/>
    </row>
    <row r="933" spans="6:12" ht="15.75" customHeight="1" x14ac:dyDescent="0.2">
      <c r="F933" s="115"/>
      <c r="G933" s="115"/>
      <c r="I933" s="115"/>
      <c r="J933" s="115"/>
      <c r="K933" s="115"/>
      <c r="L933" s="115"/>
    </row>
    <row r="934" spans="6:12" ht="15.75" customHeight="1" x14ac:dyDescent="0.2">
      <c r="F934" s="115"/>
      <c r="G934" s="115"/>
      <c r="I934" s="115"/>
      <c r="J934" s="115"/>
      <c r="K934" s="115"/>
      <c r="L934" s="115"/>
    </row>
    <row r="935" spans="6:12" ht="15.75" customHeight="1" x14ac:dyDescent="0.2">
      <c r="F935" s="115"/>
      <c r="G935" s="115"/>
      <c r="I935" s="115"/>
      <c r="J935" s="115"/>
      <c r="K935" s="115"/>
      <c r="L935" s="115"/>
    </row>
    <row r="936" spans="6:12" ht="15.75" customHeight="1" x14ac:dyDescent="0.2">
      <c r="F936" s="115"/>
      <c r="G936" s="115"/>
      <c r="I936" s="115"/>
      <c r="J936" s="115"/>
      <c r="K936" s="115"/>
      <c r="L936" s="115"/>
    </row>
    <row r="937" spans="6:12" ht="15.75" customHeight="1" x14ac:dyDescent="0.2">
      <c r="F937" s="115"/>
      <c r="G937" s="115"/>
      <c r="I937" s="115"/>
      <c r="J937" s="115"/>
      <c r="K937" s="115"/>
      <c r="L937" s="115"/>
    </row>
    <row r="938" spans="6:12" ht="15.75" customHeight="1" x14ac:dyDescent="0.2">
      <c r="F938" s="115"/>
      <c r="G938" s="115"/>
      <c r="I938" s="115"/>
      <c r="J938" s="115"/>
      <c r="K938" s="115"/>
      <c r="L938" s="115"/>
    </row>
    <row r="939" spans="6:12" ht="15.75" customHeight="1" x14ac:dyDescent="0.2">
      <c r="F939" s="115"/>
      <c r="G939" s="115"/>
      <c r="I939" s="115"/>
      <c r="J939" s="115"/>
      <c r="K939" s="115"/>
      <c r="L939" s="115"/>
    </row>
    <row r="940" spans="6:12" ht="15.75" customHeight="1" x14ac:dyDescent="0.2">
      <c r="F940" s="115"/>
      <c r="G940" s="115"/>
      <c r="I940" s="115"/>
      <c r="J940" s="115"/>
      <c r="K940" s="115"/>
      <c r="L940" s="115"/>
    </row>
    <row r="941" spans="6:12" ht="15.75" customHeight="1" x14ac:dyDescent="0.2">
      <c r="F941" s="115"/>
      <c r="G941" s="115"/>
      <c r="I941" s="115"/>
      <c r="J941" s="115"/>
      <c r="K941" s="115"/>
      <c r="L941" s="115"/>
    </row>
    <row r="942" spans="6:12" ht="15.75" customHeight="1" x14ac:dyDescent="0.2">
      <c r="F942" s="115"/>
      <c r="G942" s="115"/>
      <c r="I942" s="115"/>
      <c r="J942" s="115"/>
      <c r="K942" s="115"/>
      <c r="L942" s="115"/>
    </row>
    <row r="943" spans="6:12" ht="15.75" customHeight="1" x14ac:dyDescent="0.2">
      <c r="F943" s="115"/>
      <c r="G943" s="115"/>
      <c r="I943" s="115"/>
      <c r="J943" s="115"/>
      <c r="K943" s="115"/>
      <c r="L943" s="115"/>
    </row>
    <row r="944" spans="6:12" ht="15.75" customHeight="1" x14ac:dyDescent="0.2">
      <c r="F944" s="115"/>
      <c r="G944" s="115"/>
      <c r="I944" s="115"/>
      <c r="J944" s="115"/>
      <c r="K944" s="115"/>
      <c r="L944" s="115"/>
    </row>
    <row r="945" spans="6:12" ht="15.75" customHeight="1" x14ac:dyDescent="0.2">
      <c r="F945" s="115"/>
      <c r="G945" s="115"/>
      <c r="I945" s="115"/>
      <c r="J945" s="115"/>
      <c r="K945" s="115"/>
      <c r="L945" s="115"/>
    </row>
    <row r="946" spans="6:12" ht="15.75" customHeight="1" x14ac:dyDescent="0.2">
      <c r="F946" s="115"/>
      <c r="G946" s="115"/>
      <c r="I946" s="115"/>
      <c r="J946" s="115"/>
      <c r="K946" s="115"/>
      <c r="L946" s="115"/>
    </row>
    <row r="947" spans="6:12" ht="15.75" customHeight="1" x14ac:dyDescent="0.2">
      <c r="F947" s="115"/>
      <c r="G947" s="115"/>
      <c r="I947" s="115"/>
      <c r="J947" s="115"/>
      <c r="K947" s="115"/>
      <c r="L947" s="115"/>
    </row>
    <row r="948" spans="6:12" ht="15.75" customHeight="1" x14ac:dyDescent="0.2">
      <c r="F948" s="115"/>
      <c r="G948" s="115"/>
      <c r="I948" s="115"/>
      <c r="J948" s="115"/>
      <c r="K948" s="115"/>
      <c r="L948" s="115"/>
    </row>
    <row r="949" spans="6:12" ht="15.75" customHeight="1" x14ac:dyDescent="0.2">
      <c r="F949" s="115"/>
      <c r="G949" s="115"/>
      <c r="I949" s="115"/>
      <c r="J949" s="115"/>
      <c r="K949" s="115"/>
      <c r="L949" s="115"/>
    </row>
    <row r="950" spans="6:12" ht="15.75" customHeight="1" x14ac:dyDescent="0.2">
      <c r="F950" s="115"/>
      <c r="G950" s="115"/>
      <c r="I950" s="115"/>
      <c r="J950" s="115"/>
      <c r="K950" s="115"/>
      <c r="L950" s="115"/>
    </row>
    <row r="951" spans="6:12" ht="15.75" customHeight="1" x14ac:dyDescent="0.2">
      <c r="F951" s="115"/>
      <c r="G951" s="115"/>
      <c r="I951" s="115"/>
      <c r="J951" s="115"/>
      <c r="K951" s="115"/>
      <c r="L951" s="115"/>
    </row>
    <row r="952" spans="6:12" ht="15.75" customHeight="1" x14ac:dyDescent="0.2">
      <c r="F952" s="115"/>
      <c r="G952" s="115"/>
      <c r="I952" s="115"/>
      <c r="J952" s="115"/>
      <c r="K952" s="115"/>
      <c r="L952" s="115"/>
    </row>
    <row r="953" spans="6:12" ht="15.75" customHeight="1" x14ac:dyDescent="0.2">
      <c r="F953" s="115"/>
      <c r="G953" s="115"/>
      <c r="I953" s="115"/>
      <c r="J953" s="115"/>
      <c r="K953" s="115"/>
      <c r="L953" s="115"/>
    </row>
    <row r="954" spans="6:12" ht="15.75" customHeight="1" x14ac:dyDescent="0.2">
      <c r="F954" s="115"/>
      <c r="G954" s="115"/>
      <c r="I954" s="115"/>
      <c r="J954" s="115"/>
      <c r="K954" s="115"/>
      <c r="L954" s="115"/>
    </row>
    <row r="955" spans="6:12" ht="15.75" customHeight="1" x14ac:dyDescent="0.2">
      <c r="F955" s="115"/>
      <c r="G955" s="115"/>
      <c r="I955" s="115"/>
      <c r="J955" s="115"/>
      <c r="K955" s="115"/>
      <c r="L955" s="115"/>
    </row>
    <row r="956" spans="6:12" ht="15.75" customHeight="1" x14ac:dyDescent="0.2">
      <c r="F956" s="115"/>
      <c r="G956" s="115"/>
      <c r="I956" s="115"/>
      <c r="J956" s="115"/>
      <c r="K956" s="115"/>
      <c r="L956" s="115"/>
    </row>
    <row r="957" spans="6:12" ht="15.75" customHeight="1" x14ac:dyDescent="0.2">
      <c r="F957" s="115"/>
      <c r="G957" s="115"/>
      <c r="I957" s="115"/>
      <c r="J957" s="115"/>
      <c r="K957" s="115"/>
      <c r="L957" s="115"/>
    </row>
    <row r="958" spans="6:12" ht="15.75" customHeight="1" x14ac:dyDescent="0.2">
      <c r="F958" s="115"/>
      <c r="G958" s="115"/>
      <c r="I958" s="115"/>
      <c r="J958" s="115"/>
      <c r="K958" s="115"/>
      <c r="L958" s="115"/>
    </row>
    <row r="959" spans="6:12" ht="15.75" customHeight="1" x14ac:dyDescent="0.2">
      <c r="F959" s="115"/>
      <c r="G959" s="115"/>
      <c r="I959" s="115"/>
      <c r="J959" s="115"/>
      <c r="K959" s="115"/>
      <c r="L959" s="115"/>
    </row>
    <row r="960" spans="6:12" ht="15.75" customHeight="1" x14ac:dyDescent="0.2">
      <c r="F960" s="115"/>
      <c r="G960" s="115"/>
      <c r="I960" s="115"/>
      <c r="J960" s="115"/>
      <c r="K960" s="115"/>
      <c r="L960" s="115"/>
    </row>
    <row r="961" spans="6:12" ht="15.75" customHeight="1" x14ac:dyDescent="0.2">
      <c r="F961" s="115"/>
      <c r="G961" s="115"/>
      <c r="I961" s="115"/>
      <c r="J961" s="115"/>
      <c r="K961" s="115"/>
      <c r="L961" s="115"/>
    </row>
    <row r="962" spans="6:12" ht="15.75" customHeight="1" x14ac:dyDescent="0.2">
      <c r="F962" s="115"/>
      <c r="G962" s="115"/>
      <c r="I962" s="115"/>
      <c r="J962" s="115"/>
      <c r="K962" s="115"/>
      <c r="L962" s="115"/>
    </row>
    <row r="963" spans="6:12" ht="15.75" customHeight="1" x14ac:dyDescent="0.2">
      <c r="F963" s="115"/>
      <c r="G963" s="115"/>
      <c r="I963" s="115"/>
      <c r="J963" s="115"/>
      <c r="K963" s="115"/>
      <c r="L963" s="115"/>
    </row>
    <row r="964" spans="6:12" ht="15.75" customHeight="1" x14ac:dyDescent="0.2">
      <c r="F964" s="115"/>
      <c r="G964" s="115"/>
      <c r="I964" s="115"/>
      <c r="J964" s="115"/>
      <c r="K964" s="115"/>
      <c r="L964" s="115"/>
    </row>
    <row r="965" spans="6:12" ht="15.75" customHeight="1" x14ac:dyDescent="0.2">
      <c r="F965" s="115"/>
      <c r="G965" s="115"/>
      <c r="I965" s="115"/>
      <c r="J965" s="115"/>
      <c r="K965" s="115"/>
      <c r="L965" s="115"/>
    </row>
    <row r="966" spans="6:12" ht="15.75" customHeight="1" x14ac:dyDescent="0.2">
      <c r="F966" s="115"/>
      <c r="G966" s="115"/>
      <c r="I966" s="115"/>
      <c r="J966" s="115"/>
      <c r="K966" s="115"/>
      <c r="L966" s="115"/>
    </row>
    <row r="967" spans="6:12" ht="15.75" customHeight="1" x14ac:dyDescent="0.2">
      <c r="F967" s="115"/>
      <c r="G967" s="115"/>
      <c r="I967" s="115"/>
      <c r="J967" s="115"/>
      <c r="K967" s="115"/>
      <c r="L967" s="115"/>
    </row>
    <row r="968" spans="6:12" ht="15.75" customHeight="1" x14ac:dyDescent="0.2">
      <c r="F968" s="115"/>
      <c r="G968" s="115"/>
      <c r="I968" s="115"/>
      <c r="J968" s="115"/>
      <c r="K968" s="115"/>
      <c r="L968" s="115"/>
    </row>
    <row r="969" spans="6:12" ht="15.75" customHeight="1" x14ac:dyDescent="0.2">
      <c r="F969" s="115"/>
      <c r="G969" s="115"/>
      <c r="I969" s="115"/>
      <c r="J969" s="115"/>
      <c r="K969" s="115"/>
      <c r="L969" s="115"/>
    </row>
    <row r="970" spans="6:12" ht="15.75" customHeight="1" x14ac:dyDescent="0.2">
      <c r="F970" s="115"/>
      <c r="G970" s="115"/>
      <c r="I970" s="115"/>
      <c r="J970" s="115"/>
      <c r="K970" s="115"/>
      <c r="L970" s="115"/>
    </row>
    <row r="971" spans="6:12" ht="15.75" customHeight="1" x14ac:dyDescent="0.2">
      <c r="F971" s="115"/>
      <c r="G971" s="115"/>
      <c r="I971" s="115"/>
      <c r="J971" s="115"/>
      <c r="K971" s="115"/>
      <c r="L971" s="115"/>
    </row>
    <row r="972" spans="6:12" ht="15.75" customHeight="1" x14ac:dyDescent="0.2">
      <c r="F972" s="115"/>
      <c r="G972" s="115"/>
      <c r="I972" s="115"/>
      <c r="J972" s="115"/>
      <c r="K972" s="115"/>
      <c r="L972" s="115"/>
    </row>
    <row r="973" spans="6:12" ht="15.75" customHeight="1" x14ac:dyDescent="0.2">
      <c r="F973" s="115"/>
      <c r="G973" s="115"/>
      <c r="I973" s="115"/>
      <c r="J973" s="115"/>
      <c r="K973" s="115"/>
      <c r="L973" s="115"/>
    </row>
    <row r="974" spans="6:12" ht="15.75" customHeight="1" x14ac:dyDescent="0.2">
      <c r="F974" s="115"/>
      <c r="G974" s="115"/>
      <c r="I974" s="115"/>
      <c r="J974" s="115"/>
      <c r="K974" s="115"/>
      <c r="L974" s="115"/>
    </row>
    <row r="975" spans="6:12" ht="15.75" customHeight="1" x14ac:dyDescent="0.2">
      <c r="F975" s="115"/>
      <c r="G975" s="115"/>
      <c r="I975" s="115"/>
      <c r="J975" s="115"/>
      <c r="K975" s="115"/>
      <c r="L975" s="115"/>
    </row>
    <row r="976" spans="6:12" ht="15.75" customHeight="1" x14ac:dyDescent="0.2">
      <c r="F976" s="115"/>
      <c r="G976" s="115"/>
      <c r="I976" s="115"/>
      <c r="J976" s="115"/>
      <c r="K976" s="115"/>
      <c r="L976" s="115"/>
    </row>
    <row r="977" spans="6:12" ht="15.75" customHeight="1" x14ac:dyDescent="0.2">
      <c r="F977" s="115"/>
      <c r="G977" s="115"/>
      <c r="I977" s="115"/>
      <c r="J977" s="115"/>
      <c r="K977" s="115"/>
      <c r="L977" s="115"/>
    </row>
    <row r="978" spans="6:12" ht="15.75" customHeight="1" x14ac:dyDescent="0.2">
      <c r="F978" s="115"/>
      <c r="G978" s="115"/>
      <c r="I978" s="115"/>
      <c r="J978" s="115"/>
      <c r="K978" s="115"/>
      <c r="L978" s="115"/>
    </row>
    <row r="979" spans="6:12" ht="15.75" customHeight="1" x14ac:dyDescent="0.2">
      <c r="F979" s="115"/>
      <c r="G979" s="115"/>
      <c r="I979" s="115"/>
      <c r="J979" s="115"/>
      <c r="K979" s="115"/>
      <c r="L979" s="115"/>
    </row>
    <row r="980" spans="6:12" ht="15.75" customHeight="1" x14ac:dyDescent="0.2">
      <c r="F980" s="115"/>
      <c r="G980" s="115"/>
      <c r="I980" s="115"/>
      <c r="J980" s="115"/>
      <c r="K980" s="115"/>
      <c r="L980" s="115"/>
    </row>
    <row r="981" spans="6:12" ht="15.75" customHeight="1" x14ac:dyDescent="0.2">
      <c r="F981" s="115"/>
      <c r="G981" s="115"/>
      <c r="I981" s="115"/>
      <c r="J981" s="115"/>
      <c r="K981" s="115"/>
      <c r="L981" s="115"/>
    </row>
    <row r="982" spans="6:12" ht="15.75" customHeight="1" x14ac:dyDescent="0.2">
      <c r="F982" s="115"/>
      <c r="G982" s="115"/>
      <c r="I982" s="115"/>
      <c r="J982" s="115"/>
      <c r="K982" s="115"/>
      <c r="L982" s="115"/>
    </row>
    <row r="983" spans="6:12" ht="15.75" customHeight="1" x14ac:dyDescent="0.2">
      <c r="F983" s="115"/>
      <c r="G983" s="115"/>
      <c r="I983" s="115"/>
      <c r="J983" s="115"/>
      <c r="K983" s="115"/>
      <c r="L983" s="115"/>
    </row>
    <row r="984" spans="6:12" ht="15.75" customHeight="1" x14ac:dyDescent="0.2">
      <c r="F984" s="115"/>
      <c r="G984" s="115"/>
      <c r="I984" s="115"/>
      <c r="J984" s="115"/>
      <c r="K984" s="115"/>
      <c r="L984" s="115"/>
    </row>
    <row r="985" spans="6:12" ht="15.75" customHeight="1" x14ac:dyDescent="0.2">
      <c r="F985" s="115"/>
      <c r="G985" s="115"/>
      <c r="I985" s="115"/>
      <c r="J985" s="115"/>
      <c r="K985" s="115"/>
      <c r="L985" s="115"/>
    </row>
    <row r="986" spans="6:12" ht="15.75" customHeight="1" x14ac:dyDescent="0.2">
      <c r="F986" s="115"/>
      <c r="G986" s="115"/>
      <c r="I986" s="115"/>
      <c r="J986" s="115"/>
      <c r="K986" s="115"/>
      <c r="L986" s="115"/>
    </row>
    <row r="987" spans="6:12" ht="15.75" customHeight="1" x14ac:dyDescent="0.2">
      <c r="F987" s="115"/>
      <c r="G987" s="115"/>
      <c r="I987" s="115"/>
      <c r="J987" s="115"/>
      <c r="K987" s="115"/>
      <c r="L987" s="115"/>
    </row>
  </sheetData>
  <mergeCells count="66">
    <mergeCell ref="E70:W70"/>
    <mergeCell ref="E71:W71"/>
    <mergeCell ref="E72:W72"/>
    <mergeCell ref="E58:G58"/>
    <mergeCell ref="E59:G59"/>
    <mergeCell ref="E60:G60"/>
    <mergeCell ref="E61:G61"/>
    <mergeCell ref="G34:I34"/>
    <mergeCell ref="E44:G44"/>
    <mergeCell ref="E53:G53"/>
    <mergeCell ref="E54:G54"/>
    <mergeCell ref="E55:G55"/>
    <mergeCell ref="E56:G56"/>
    <mergeCell ref="E57:G57"/>
    <mergeCell ref="X48:Y48"/>
    <mergeCell ref="X49:Y49"/>
    <mergeCell ref="X56:Y56"/>
    <mergeCell ref="X57:Y57"/>
    <mergeCell ref="C31:I31"/>
    <mergeCell ref="M31:S31"/>
    <mergeCell ref="G33:I33"/>
    <mergeCell ref="Q33:S33"/>
    <mergeCell ref="Q34:S34"/>
    <mergeCell ref="X40:Y40"/>
    <mergeCell ref="O44:Q44"/>
    <mergeCell ref="E15:G15"/>
    <mergeCell ref="E16:G16"/>
    <mergeCell ref="E17:G17"/>
    <mergeCell ref="E18:G18"/>
    <mergeCell ref="X41:Y41"/>
    <mergeCell ref="U5:X5"/>
    <mergeCell ref="Z5:AC5"/>
    <mergeCell ref="G4:I4"/>
    <mergeCell ref="E14:G14"/>
    <mergeCell ref="O14:Q14"/>
    <mergeCell ref="C1:I1"/>
    <mergeCell ref="M1:S1"/>
    <mergeCell ref="G3:I3"/>
    <mergeCell ref="Q3:S3"/>
    <mergeCell ref="Q4:S4"/>
    <mergeCell ref="K99:L99"/>
    <mergeCell ref="K100:L100"/>
    <mergeCell ref="K101:L101"/>
    <mergeCell ref="K102:L102"/>
    <mergeCell ref="K103:L103"/>
    <mergeCell ref="O54:Q54"/>
    <mergeCell ref="O55:Q55"/>
    <mergeCell ref="O56:Q56"/>
    <mergeCell ref="O57:Q57"/>
    <mergeCell ref="K98:L98"/>
    <mergeCell ref="I73:N73"/>
    <mergeCell ref="L75:N75"/>
    <mergeCell ref="L76:N76"/>
    <mergeCell ref="K86:L86"/>
    <mergeCell ref="K95:L95"/>
    <mergeCell ref="K96:L96"/>
    <mergeCell ref="K97:L97"/>
    <mergeCell ref="O58:Q58"/>
    <mergeCell ref="O59:Q59"/>
    <mergeCell ref="O60:Q60"/>
    <mergeCell ref="O61:Q61"/>
    <mergeCell ref="O16:Q16"/>
    <mergeCell ref="O17:Q17"/>
    <mergeCell ref="O15:Q15"/>
    <mergeCell ref="O18:Q18"/>
    <mergeCell ref="O53:Q5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Liquor</vt:lpstr>
      <vt:lpstr>Wine</vt:lpstr>
      <vt:lpstr>Owners Collection</vt:lpstr>
      <vt:lpstr>Beer</vt:lpstr>
      <vt:lpstr>Produce</vt:lpstr>
      <vt:lpstr>Wine Waste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Carter</dc:creator>
  <dcterms:created xsi:type="dcterms:W3CDTF">2024-01-17T04:11:30Z</dcterms:created>
</cp:coreProperties>
</file>